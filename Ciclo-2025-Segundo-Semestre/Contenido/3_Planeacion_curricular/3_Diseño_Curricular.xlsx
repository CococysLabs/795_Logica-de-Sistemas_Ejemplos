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U5QuBGJzySFvdkWZwBDTHe9Qpf4CDZEtBfaCfxL2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<sst xmlns="http://schemas.openxmlformats.org/spreadsheetml/2006/main" count="1501" uniqueCount="335">
  <si>
    <t>Diseño de Contenido Curricular</t>
  </si>
  <si>
    <t>Curso</t>
  </si>
  <si>
    <t>795 - Logica de Sitemas</t>
  </si>
  <si>
    <t>Periodo al que aplica</t>
  </si>
  <si>
    <t>Primer Semestre 2026</t>
  </si>
  <si>
    <t>No.</t>
  </si>
  <si>
    <t>Competencia</t>
  </si>
  <si>
    <t>Nombre de la Unidad</t>
  </si>
  <si>
    <t>Tema</t>
  </si>
  <si>
    <t>Subtema</t>
  </si>
  <si>
    <t>Mes</t>
  </si>
  <si>
    <t>Semana</t>
  </si>
  <si>
    <t xml:space="preserve">Reconoce los distintos tipos de bloqueos mentales mediante la identificación de ejemplos en experiencias cotidianas que dificultan la resolución de problemas </t>
  </si>
  <si>
    <t>Unidad 1: La creatividad y bloqueos mentales</t>
  </si>
  <si>
    <t>La creatividad</t>
  </si>
  <si>
    <t>¿Qué es la creatividad?</t>
  </si>
  <si>
    <t>Febrero</t>
  </si>
  <si>
    <t>Pasos en la resolución de problemas</t>
  </si>
  <si>
    <t>Bloqueos mentales</t>
  </si>
  <si>
    <t>Práctica de la creatividad</t>
  </si>
  <si>
    <t>Técnicas para producir ideas</t>
  </si>
  <si>
    <t>Como hacer mas eficiente la mente</t>
  </si>
  <si>
    <t>Método para ser más eficiente</t>
  </si>
  <si>
    <t>Modelos Mentales</t>
  </si>
  <si>
    <t>Bloqueos perceptivos</t>
  </si>
  <si>
    <t>Bloqueos emocionales</t>
  </si>
  <si>
    <t>Bloqueos culturales</t>
  </si>
  <si>
    <t>Bloqueos ambientales</t>
  </si>
  <si>
    <t>Bloqueos intelectuales</t>
  </si>
  <si>
    <t>Bloqueos expresivos</t>
  </si>
  <si>
    <t>Unidad 2: Lógica</t>
  </si>
  <si>
    <t>Lógica</t>
  </si>
  <si>
    <t>Introducción a la Lógica</t>
  </si>
  <si>
    <t xml:space="preserve">Comprende las diferencias entre lógica formal, matemática y sistémica a través del análisis comparativo 
en ejercicios y situaciones académicas </t>
  </si>
  <si>
    <t>Etimologia de la Lógica</t>
  </si>
  <si>
    <t>Pensar y Razonar</t>
  </si>
  <si>
    <t>Razonamiento Lógico</t>
  </si>
  <si>
    <t>Relación entre la Lógica y otras Ciencias</t>
  </si>
  <si>
    <t>Reduccionimo Lógico</t>
  </si>
  <si>
    <t>Lógica y Psicología</t>
  </si>
  <si>
    <t>La Lógica y otras Ciencias</t>
  </si>
  <si>
    <t>Lógica y Sociología</t>
  </si>
  <si>
    <t>Lógica y Matemáticas</t>
  </si>
  <si>
    <t>Lógica y Gramática</t>
  </si>
  <si>
    <t>Lógica y Filosofía</t>
  </si>
  <si>
    <t>Definición de la Lógica como Ciencia</t>
  </si>
  <si>
    <t>Estructura Fundamental de la Lógica</t>
  </si>
  <si>
    <t>La Apofántica</t>
  </si>
  <si>
    <t>Primer Parcial Unidad 1 y 2</t>
  </si>
  <si>
    <t xml:space="preserve">Aplica la construcción de árboles lógicos y tríadas conceptuales para representar gráficamente las estructuras de pensamiento trabajadas en el curso </t>
  </si>
  <si>
    <t>Unidad 3: Lógica del Concepto</t>
  </si>
  <si>
    <t>Concepto</t>
  </si>
  <si>
    <t>Concepto y realidad</t>
  </si>
  <si>
    <t>Objeto</t>
  </si>
  <si>
    <t>Objetos Como dispositivos de reconocimientoi</t>
  </si>
  <si>
    <t>Ciclo de vida de un Objeto</t>
  </si>
  <si>
    <t>Relaciones de objetos</t>
  </si>
  <si>
    <t>Mapeo</t>
  </si>
  <si>
    <t>Relaciones de un Objeto</t>
  </si>
  <si>
    <t>Triada del concepto y Arboles Logicos</t>
  </si>
  <si>
    <t>Caracteristicas del Concepto</t>
  </si>
  <si>
    <t>La clasificacion de los objetos</t>
  </si>
  <si>
    <t>Triadas Parciales</t>
  </si>
  <si>
    <t>Sinonimos y Homonimos</t>
  </si>
  <si>
    <t>Arboles Logicos</t>
  </si>
  <si>
    <t>Marzo</t>
  </si>
  <si>
    <t>el arbol como esquema mental</t>
  </si>
  <si>
    <t xml:space="preserve">Analiza proposiciones y razonamientos en el lenguaje identificando premisas, conclusiones y sus relaciones lógicas dentro de textos y enunciados </t>
  </si>
  <si>
    <t>Unidad 4: El lenguaje y la Lógica de las proposiciones</t>
  </si>
  <si>
    <t>Logica de las proposiciones y logica Matematica</t>
  </si>
  <si>
    <t>Definicion de las preposiciones</t>
  </si>
  <si>
    <t>Clasificacion de las proposiciones</t>
  </si>
  <si>
    <t>Simbolizacion de las proposiciones</t>
  </si>
  <si>
    <t>Diagrama del arbol</t>
  </si>
  <si>
    <t>Operaciones logicas</t>
  </si>
  <si>
    <t>Clasificacion de las operaciones logicas</t>
  </si>
  <si>
    <t>Tablas de verdad</t>
  </si>
  <si>
    <t>El lenguaje</t>
  </si>
  <si>
    <t>Que es el Lenguaje</t>
  </si>
  <si>
    <t>Funciones del Lenguaje</t>
  </si>
  <si>
    <t>Lenguaje Informativo</t>
  </si>
  <si>
    <t>Lenguaje Expresivo</t>
  </si>
  <si>
    <t>Lenguaje Directivo</t>
  </si>
  <si>
    <t>Lenguaje Mixto</t>
  </si>
  <si>
    <t xml:space="preserve">Diseña representaciones lógicas innovadoras combinando conceptos, proposiciones y razonamientos que fortalezcan el pensamiento crítico y el razonamiento válido </t>
  </si>
  <si>
    <t>Segundo Parcial Unidades 3 y 4</t>
  </si>
  <si>
    <t>Segundo Parcial</t>
  </si>
  <si>
    <t>Objetos</t>
  </si>
  <si>
    <t>Sinonimos Homonimos</t>
  </si>
  <si>
    <t>Operaciones Logicas</t>
  </si>
  <si>
    <t>Proposiciones</t>
  </si>
  <si>
    <t>Logica del Razonamiento</t>
  </si>
  <si>
    <t xml:space="preserve">Evalúa la validez de razonamientos y falacias empleando discusiones guiadas y la resolución de dilemas en contextos académicos del curso </t>
  </si>
  <si>
    <t>Unidad 5: Razonamiento y falacias</t>
  </si>
  <si>
    <t>Razonamiento</t>
  </si>
  <si>
    <t>El razonamiento</t>
  </si>
  <si>
    <t>Las inferencias</t>
  </si>
  <si>
    <t>Razonamiento Formal e Informal</t>
  </si>
  <si>
    <t>La inferencia</t>
  </si>
  <si>
    <t>Reglas de inferencia</t>
  </si>
  <si>
    <t>Falacias</t>
  </si>
  <si>
    <t>Las falacias</t>
  </si>
  <si>
    <t>Falacias de Antingencia</t>
  </si>
  <si>
    <t>Falacias de Ambiguedad</t>
  </si>
  <si>
    <t>El padre de las estrategias para solución de problemas</t>
  </si>
  <si>
    <t>Buscar un patrón</t>
  </si>
  <si>
    <t>Ensayo y error</t>
  </si>
  <si>
    <t>Bosquejo o diagrama</t>
  </si>
  <si>
    <t xml:space="preserve">Integra modelos mentales y paradigmas en el análisis de ejemplos prácticos para reflexionar sobre su impacto en la toma de decisiones </t>
  </si>
  <si>
    <t>Unidad 6: Modelos mentales y paradigmas</t>
  </si>
  <si>
    <t>Paradigmas</t>
  </si>
  <si>
    <t>¿Que es un paradigma?</t>
  </si>
  <si>
    <t>Abril</t>
  </si>
  <si>
    <t>Características y aspectos externos e internos del ser humano que determinan los paradigmas</t>
  </si>
  <si>
    <t>Historia de los paradigmas</t>
  </si>
  <si>
    <t>Consecuencia del uso de paradigmas</t>
  </si>
  <si>
    <t>Efecto paradigma</t>
  </si>
  <si>
    <t>Imagenes multiestables</t>
  </si>
  <si>
    <t>Polisemia</t>
  </si>
  <si>
    <t>Polisemia cultural</t>
  </si>
  <si>
    <t>La certeza</t>
  </si>
  <si>
    <t>El humor</t>
  </si>
  <si>
    <t>Tercer Parcial Unidad 5 y 6</t>
  </si>
  <si>
    <t>Razonamiento formal e informal</t>
  </si>
  <si>
    <t>Caracteristicas y aspectos extennos e internos de los paradigmas</t>
  </si>
  <si>
    <t>Uso de paradigmas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</si>
  <si>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</si>
  <si>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</si>
  <si>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</si>
  <si>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</si>
  <si>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</si>
  <si>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</si>
  <si>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[Tu Nombre]. Estudiante de Ingeniería en Ciencias y Sistemas – USAC (pensum cerrado). Intereses: lógica, programación y buenas prácticas de software.</t>
  </si>
  <si>
    <t xml:space="preserve">Experiencia docente y profecional </t>
  </si>
  <si>
    <t>Auxiliar/tutor en cursos de Lógica de Sistemas, Desarollador.</t>
  </si>
  <si>
    <t>Rol del auxiliar dentro del curso (funciones, actividades y apoyo a los estudiantes).</t>
  </si>
  <si>
    <t>Guiar prácticas y resolver dudas; explicar con ejemplos; diseñar y retroalimentar ejercicios/cuestionarios; coordinar parciales; canal de comunicación (Classroom); fomentar ética académica y trabajo profesional.</t>
  </si>
  <si>
    <t>Expectativas sobre la dinámica del curso</t>
  </si>
  <si>
    <t>Puntualidad y participación activa en clase con hojas de trabajo; practicar más que memorizar,</t>
  </si>
  <si>
    <t xml:space="preserve">Tiempo que emplearas </t>
  </si>
  <si>
    <t>2’ saludo; 3’ formación y experiencia; 5’ rol y dinámica; 5’ logística y preguntas rápidas.</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</si>
  <si>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</si>
  <si>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</si>
  <si>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</si>
  <si>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</si>
  <si>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Preguntas teoricas basadas en conceptos de cursos previos</t>
  </si>
  <si>
    <t>Redactaras una parte practica</t>
  </si>
  <si>
    <t>Identificar si la proposición (p → q) ∧ (q → p) es tautología, contradicción o contingente.</t>
  </si>
  <si>
    <t>20 min</t>
  </si>
  <si>
    <t xml:space="preserve">3. Presentación de los Estudiantes                                </t>
  </si>
  <si>
    <t xml:space="preserve">No puedes excederte mas de 30 minutos </t>
  </si>
  <si>
    <t>Seleccion al Azar de 5 Estudiantes</t>
  </si>
  <si>
    <t>Asignar número a cada estudiante en la lista y usar un generador aleatorio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</si>
  <si>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</si>
  <si>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</si>
  <si>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¿Cuál es tu nombre completo?
¿Qué intereses o expectativas tienes sobre el curso de Lógica de Sistemas?
¿Tienes alguna experiencia previa relacionada con lógica, matemáticas o programación? (si aplica).
Cuéntanos un dato curioso sobre ti.
¿Consideras que la prueba de conocimientos previos fue acorde a lo que sabías antes de entrar al curso?</t>
  </si>
  <si>
    <t>5 min por persona</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</si>
  <si>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</si>
  <si>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</si>
  <si>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</si>
  <si>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</si>
  <si>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</si>
  <si>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</si>
  <si>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4.  Mostrar Programa del Curso                 </t>
  </si>
  <si>
    <t>No puedes excederte mas de 30 minutos</t>
  </si>
  <si>
    <t>20 minutos para leer el programa</t>
  </si>
  <si>
    <t xml:space="preserve">2. Evaluación de Conocimientos del Curso Actual                                  </t>
  </si>
  <si>
    <t xml:space="preserve">Redactaras 20 preguntas con sus respectivas respuestas </t>
  </si>
  <si>
    <t>Preguntas de conceptos del curso actual</t>
  </si>
  <si>
    <t>20 min para resolver el cuestionario</t>
  </si>
  <si>
    <t>Diseño de la Sesión de Laboratorio</t>
  </si>
  <si>
    <t>Ponderación</t>
  </si>
  <si>
    <t>Validación de Tiempo</t>
  </si>
  <si>
    <t>1. Área Actitudinal (Saber Ser)</t>
  </si>
  <si>
    <t>Tiene que estar en un rango de 3 a 5 minutos</t>
  </si>
  <si>
    <t>Nombre del Valor</t>
  </si>
  <si>
    <t>Perseverancia</t>
  </si>
  <si>
    <t xml:space="preserve">Descripcion: </t>
  </si>
  <si>
    <t>Se fomenta al demostrar que los bloqueos mentales pueden superarse con práctica y aplicando diferentes tecnicas.</t>
  </si>
  <si>
    <t>Como se relaciona con los conocimientos de la sesion y se aplicaria</t>
  </si>
  <si>
    <t>- Se demuestra cuando los estudiantes insisten en superar bloqueos mentales utilizando técnicas aprendidas (como el método para producir ideas).
- Al enfrentar dificultades para generar ideas, se motiva a los alumnos a seguir intentando en lugar de rendirse.</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</si>
  <si>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</si>
  <si>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</si>
  <si>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</si>
  <si>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</si>
  <si>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</si>
  <si>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</si>
  <si>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</si>
  <si>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</si>
  <si>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</si>
  <si>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</si>
  <si>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</si>
  <si>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</si>
  <si>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</si>
  <si>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52 a 30 minutos</t>
  </si>
  <si>
    <t>Video</t>
  </si>
  <si>
    <t>5 a 10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</si>
  <si>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</si>
  <si>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</si>
  <si>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</si>
  <si>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</si>
  <si>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</si>
  <si>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</si>
  <si>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</si>
  <si>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</si>
  <si>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actividades</t>
  </si>
  <si>
    <t>Coloca el tiempo que usar en la actividad, un tiempo sugerido 30 minutos</t>
  </si>
  <si>
    <t>Descripcion de la Actividad</t>
  </si>
  <si>
    <t xml:space="preserve">Identificar los tipos de bloqueos mentales mediante el análisis de casos y experiencias personales en situaciones que dificultan la resolución de problemas </t>
  </si>
  <si>
    <t>Actividad 2 (Optativa puedes hacerla si lo consideras apropiado)</t>
  </si>
  <si>
    <t>Coloca el tiempo que usar en la actividad, un tiempo sugerido 20 minutos</t>
  </si>
  <si>
    <t>Reconocer la importancia de la lógica mediante ejercicios prácticos donde los estudiantes organicen ideas, detecten errores de razonamiento y apliquen la lógica en la resolución de problemas cotidianos.</t>
  </si>
  <si>
    <t>3. Cierre</t>
  </si>
  <si>
    <t>Tiene que estar en un rango de 10 a 15 minutos</t>
  </si>
  <si>
    <t>Asignacion de Actividades</t>
  </si>
  <si>
    <t>Se resuelven dudas y se les asigna la tarea 1</t>
  </si>
  <si>
    <t>Resuelve alguna duda, asigna las actividades que deben realizar, dudas de proyectos, etc</t>
  </si>
  <si>
    <t>Orden</t>
  </si>
  <si>
    <t>Descripcion</t>
  </si>
  <si>
    <t>La lógica estudia las reglas del pensamiento correcto y cómo aplicarlas para razonar con claridad y coherencia.</t>
  </si>
  <si>
    <t>Se relaciona con otras ciencias como la matemática, filosofía, psicología y gramática, porque les brinda métodos de razonamiento y análisis que fortalecen su estudio y práctica.</t>
  </si>
  <si>
    <t>5 a 30 minutos</t>
  </si>
  <si>
    <t>3 a 6 minutos</t>
  </si>
  <si>
    <t>Se resuelven dudas y se les asigna la tarea 2</t>
  </si>
  <si>
    <t>Responsabilidad y Honestidad Académica</t>
  </si>
  <si>
    <t>Fomentar que el estudiante asuma con responsabilidad su preparación y desempeño en la evaluación parcial.
Resaltar la importancia de la honestidad académica durante el examen (evitar plagio y copiar respuestas).
Promover la autoconfianza y la perseverancia frente a la presión de un examen.</t>
  </si>
  <si>
    <t>El parcial evalúa los temas de la Unidad 1 y 2 (resolución de problemas, razonamiento lógico, introducción a la lógica).
La responsabilidad se aplica al estudiar previamente y cumplir con el examen sin depender de otros.
La honestidad se refleja en responder únicamente con sus conocimientos.
Se conecta con el razonamiento lógico porque requiere disciplina, análisis propio y pensamiento crítico, valores que refuerzan el aprendizaje ético.</t>
  </si>
  <si>
    <t>5 a 10 min</t>
  </si>
  <si>
    <t xml:space="preserve">Identificar los tipos de bloqueos mentales mediante el análisis de casos y experiencias personales en situaciones que dificultan la resolución de problemas 
</t>
  </si>
  <si>
    <t>Resolver dudas de actividad y tareas</t>
  </si>
  <si>
    <t>Se obtiene al momento de organizar las ideas y conceptos de manera jerárquica y coherente</t>
  </si>
  <si>
    <t>Es la capacidad de organizar ideas y conceptos de manera jerárquica y coherente para facilitar el aprendizaje y la comunicación.
Aplicación en clase:
- Ayuda a clarificar el pensamiento.
- Facilita la comprensión y el análisis.
- Mejora la presentación de ideas.</t>
  </si>
  <si>
    <t>20 a 25 minutos</t>
  </si>
  <si>
    <t>15 a 20 minutos</t>
  </si>
  <si>
    <t>10 a 15 minutos</t>
  </si>
  <si>
    <t>Construir triadas del concepto y triadas parciales utilizando los contenidos que se desarrollaron durante la clase.</t>
  </si>
  <si>
    <t>Se resuelven dudas y se asigna la tarea de la semana</t>
  </si>
  <si>
    <t>Responsabilidad</t>
  </si>
  <si>
    <t>La lógica del concepto y de las proposiciones organiza ideas y enunciados mediante esquemas, símbolos y reglas para analizar el razonamiento correcto.</t>
  </si>
  <si>
    <t>Ayuda a organizar ideas y analizar argumentos, aplicándose en la resolución de problemas y el pensamiento crítico.</t>
  </si>
  <si>
    <t>Construir un árbol lógico de un tema cotidiano y analizar cómo organiza las ideas y relaciones entre conceptos.</t>
  </si>
  <si>
    <t>Respeto y Escucha Activa</t>
  </si>
  <si>
    <t>Promover la disposición a escuchar y valorar cómo cada compañero interpreta y clasifica los distintos tipos de lenguaje.
Fomentar el respeto hacia las diferentes formas de expresión y comunicación, ya que el lenguaje cumple funciones diversas según el contexto.
Motivar la tolerancia ante puntos de vista distintos, evitando burlas o descalificaciones.</t>
  </si>
  <si>
    <t>El análisis de los tipos de lenguaje requiere escuchar con atención ejemplos dados por los demás y reconocer la intención comunicativa detrás de cada enunciado.
El respeto y la escucha activa ayudan a identificar con claridad si un mensaje es informativo, expresivo, directivo o mixto.
Aplicar este valor permite enriquecer la comprensión de cómo se usa el lenguaje en la vida cotidiana y en los contextos académicos.</t>
  </si>
  <si>
    <t>15 - 20 min</t>
  </si>
  <si>
    <t>5 - 10 min</t>
  </si>
  <si>
    <t>20 - 25 min</t>
  </si>
  <si>
    <t>Cada estudiante recibe 5 enunciados cortos (ej. frases informativas, expresivas, directivas y mixtas).
Debe clasificar el tipo de lenguaje que corresponde a cada enunciado.
En 2 de los casos, además debe identificar premisas y conclusiones, evaluando si el razonamiento es válido o presenta una falacia.
Se entrega de manera individual para evaluar la comprensión personal, sin apoyo grupal.</t>
  </si>
  <si>
    <t xml:space="preserve">Resolver dudas de actividad y tareas							
							</t>
  </si>
  <si>
    <t>Descripcion:</t>
  </si>
  <si>
    <t xml:space="preserve"> Asumir con compromiso el estudio, la preparación y la presentación del parcial, cumpliendo con los tiempos y criterios establecidos.</t>
  </si>
  <si>
    <t>3 a 5 minutos</t>
  </si>
  <si>
    <t>Cuestionario</t>
  </si>
  <si>
    <t>Se realizara un cuestionario donde se evaluaran los conceptos basicos para la construccion de triadas, triadas parciales y arboles logicos</t>
  </si>
  <si>
    <t>Se resolveran las dudas acerca del cuestionario y de la clase de repaso</t>
  </si>
  <si>
    <t>Creatividad y Pensamiento Crítico</t>
  </si>
  <si>
    <t>Estudia cómo se generan inferencias correctas y se identifican falacias, usando razonamiento formal e informal para analizar argumentos.</t>
  </si>
  <si>
    <t>Se relaciona al detectar errores en argumentos y se aplica en la resolución de problemas y en el pensamiento crítico.</t>
  </si>
  <si>
    <t>Analizar diferentes argumentos para identificar inferencias correctas y falacias, y luego discutir cómo mejorar el razonamiento en cada caso.</t>
  </si>
  <si>
    <t>Se resuelven dudas y se les asigna la tarea 5</t>
  </si>
  <si>
    <t>Fomentar la creatividad para proponer nuevas formas de representar conceptos y razonamientos lógicos.
Estimular el pensamiento crítico al cuestionar las ventajas y limitaciones de diferentes representaciones lógicas.
Motivar a los estudiantes a ir más allá de las estructuras tradicionales, combinando ideas y buscando soluciones innovadoras.</t>
  </si>
  <si>
    <t>En esta unidad se busca diseñar representaciones lógicas innovadoras, por lo que la creatividad es clave para construir diagramas, tablas o modelos originales.
El pensamiento crítico se aplica al evaluar la utilidad de cada representación para resolver problemas o explicar conceptos.
Estos valores ayudan a que los estudiantes conecten la lógica con situaciones reales y profesionales, reforzando su capacidad de análisis y comunicación clara.</t>
  </si>
  <si>
    <t>15 - 25 min</t>
  </si>
  <si>
    <t>Cada estudiante recibirá un conjunto de proposiciones (ej. 3–4 enunciados relacionados con un problema práctico).
Deberá construir un árbol lógico o tríada conceptual que represente las relaciones entre premisas y conclusiones.
Posteriormente, deberá rediseñar esa representación en una forma innovadora (puede ser un diagrama mixto, esquema gráfico, tabla comparativa o incluso un pseudocódigo).
Entregar el trabajo en una hoja o archivo digital breve, mostrando:
Primera parte: representación lógica tradicional (árbol o tabla).
Segunda parte: representación innovadora propuesta.
Justificación corta (3–4 líneas) de por qué la segunda representación mejora la comprensión.</t>
  </si>
  <si>
    <t>Pensamiento crítico</t>
  </si>
  <si>
    <t xml:space="preserve">Descripcion: 
</t>
  </si>
  <si>
    <t>Se fomenta al incentivar a los estudiantes a analizar y evaluar problemas de manera lógica y estructurada.</t>
  </si>
  <si>
    <t>Impulsa la evaluación de argumentos y creencias y la reflexión sobre los marcos mentales que condicionan nuestras decisiones, permitiendo un razonamiento más sólido y consciente frente a problemas complejos.</t>
  </si>
  <si>
    <t>Se realizara un cuestionario donde se evaluen los conceptos principales sobre los modelos mentales y los paradigmas asi como situaciones en los que los alumnos deban identifiacar si es un modelo mental o un paradigma</t>
  </si>
  <si>
    <t>Proyectos</t>
  </si>
  <si>
    <t>La sumatoria de los puntos de los proyectos debe superar el  70% del total de la nota, no puede ser un 100%</t>
  </si>
  <si>
    <t>1. Primer Proyecto</t>
  </si>
  <si>
    <t>Horas para realizarlo</t>
  </si>
  <si>
    <t>Titulo</t>
  </si>
  <si>
    <t>Arboles Logicos y Triadas Parciales</t>
  </si>
  <si>
    <t>Qué tecnologías, lenguajes de programación, plataformas, hardware o software se utilizaran</t>
  </si>
  <si>
    <r>
      <rPr>
        <rFont val="Arial"/>
        <color theme="1"/>
      </rPr>
      <t xml:space="preserve">Se utilizara un software para realizar los arboles logicos y triadas parciales, se recomendara </t>
    </r>
    <r>
      <rPr>
        <rFont val="Arial"/>
        <color rgb="FF1155CC"/>
        <u/>
      </rPr>
      <t>Draw.io</t>
    </r>
  </si>
  <si>
    <t>Descripción de lo que se realizara</t>
  </si>
  <si>
    <t>Los estudiantes analizaran y organizaran conceptos claves que han aprendido durante el curso, esto mediante la construccion de triadas, triadas parciales y arboles logicos, aplicando los diferentes tipos de analisis que se explican en el curso. Esto con el objetivo de representar de manera clara las realaciones jerarquicas y asociativas entre ideas</t>
  </si>
  <si>
    <t>2. Segundo Proyecto</t>
  </si>
  <si>
    <t>3. Tercer Proyecto</t>
  </si>
  <si>
    <t>Optativa</t>
  </si>
  <si>
    <t>Practicas</t>
  </si>
  <si>
    <t>La sumatoria de los puntos de los practicas debe no debe super el  20%</t>
  </si>
  <si>
    <t>1. Primera Practica</t>
  </si>
  <si>
    <t>Obligatoria</t>
  </si>
  <si>
    <t>Identificación de bloqueos mentales y representación lógica de estructuras de pensamiento.</t>
  </si>
  <si>
    <t>Procesador de texto (Word/Google Docs) para redacción.
PDF para la entrega final.
Opcional: tablas, esquemas o diagramas hechos en herramientas digitales (Excel, Draw.io, Canva).</t>
  </si>
  <si>
    <t>El estudiante identificará tres ejemplos cotidianos con bloqueos mentales.
Explicará cómo afectan la resolución de problemas.
Realizará un análisis comparativo entre lógica formal, matemática y sistémica.
Construirá un árbol lógico y una tríada conceptual.
Entregará un PDF con casos, análisis, esquemas y reflexión final.</t>
  </si>
  <si>
    <t>2. Segunda Practica</t>
  </si>
  <si>
    <t>Análisis de Funciones y Tipos de Lenguaje en Situaciones Cotidianas</t>
  </si>
  <si>
    <t>El estudiante seleccionará al menos tres ejemplos cotidianos en los que se identifiquen bloqueos mentales que dificulten la resolución de problemas, describirá cada situación explicando cómo dicho bloqueo limita el pensamiento y las posibles soluciones, elaborará un análisis comparativo que explique las diferencias entre la lógica formal, matemática y sistémica relacionándolas con los ejemplos seleccionados, diseñará un árbol lógico y una tríada conceptual que representen gráficamente la relación entre los bloqueos mentales y las alternativas de solución, y finalmente entregará un documento en PDF que incluya introducción, descripción de casos, análisis comparativo, representaciones gráficas y una reflexión final sobre cómo superar los bloqueos mentales para mejorar el razonamiento y la toma de decisiones.
El estudiante seleccionará tres situaciones reales o simuladas (académicas, laborales o sociales).
Identificará los tipos de lenguaje presentes en cada caso (informativo, expresivo, directivo, mixto).
Evaluará si en cada situación existen proposiciones lógicas y su validez.
Redactará una reflexión crítica (mínimo 1 página) sobre el impacto del lenguaje en la claridad o confusión del mensaje.
Relacionará uno de los casos con un bloqueo mental que afecte la comunicación y propondrá una solución lógica para superarlo.
Se entregará un documento en PDF con la descripción de casos, tabla de clasificación, reflexión crítica y propuesta de solución.</t>
  </si>
  <si>
    <t>3. Tercera Practica</t>
  </si>
  <si>
    <t>4. Cuarta Practica</t>
  </si>
  <si>
    <t>5. Quinta Practica</t>
  </si>
  <si>
    <t>6. Sexta Practica</t>
  </si>
  <si>
    <t>7. Septima Practica</t>
  </si>
  <si>
    <t>Tareas</t>
  </si>
  <si>
    <t>La sumatoria de los puntos de los practicas debe no debe super el  20% de la nota</t>
  </si>
  <si>
    <t>1. Primera Tarea</t>
  </si>
  <si>
    <t>La Creatividad y su aplicación en la Lógica</t>
  </si>
  <si>
    <r>
      <rPr>
        <rFont val="Arial"/>
        <color theme="1"/>
      </rPr>
      <t xml:space="preserve">Word, PDF, </t>
    </r>
    <r>
      <rPr>
        <rFont val="Arial"/>
        <color rgb="FF1155CC"/>
        <u/>
      </rPr>
      <t>Draw.io</t>
    </r>
  </si>
  <si>
    <t>El estudiante elaborará un documento breve en el que explorará la creatividad como herramienta para la resolución de problemas. A partir de los temas vistos en clase, deberá:
Definir qué es la creatividad y su relación con la lógica.
Aplicar los pasos de resolución de problemas a un caso sencillo.
Identificar un bloqueo mental y proponer cómo superarlo.
Realizar un ejercicio práctico de creatividad utilizando una técnica de producción de ideas.
Reflexionar sobre estrategias y métodos para hacer más eficiente la mente.
El trabajo final busca que el estudiante desarrolle un enfoque crítico y creativo frente a los problemas cotidianos, reforzando la importancia de la lógica como apoyo en el pensamiento innovador.</t>
  </si>
  <si>
    <t>2. Segunda Tarea</t>
  </si>
  <si>
    <t>Conceptos de la logica</t>
  </si>
  <si>
    <r>
      <rPr>
        <rFont val="Arial"/>
        <color theme="1"/>
      </rPr>
      <t xml:space="preserve">Word, PDF, </t>
    </r>
    <r>
      <rPr>
        <rFont val="Arial"/>
        <color rgb="FF1155CC"/>
        <u/>
      </rPr>
      <t>Draw.io</t>
    </r>
  </si>
  <si>
    <t>A los estudiantes se les entregará una serie de preguntas relacionadas con los contenidos de la Unidad 2 (Nociones preliminares de lógica, La lógica y el enfoque de sistemas).
Deberán responder con sus propias palabras y, en cada caso, incluir al menos un ejemplo personal o de la vida cotidiana que ilustre su respuesta.</t>
  </si>
  <si>
    <t>3. Tercera Tarea</t>
  </si>
  <si>
    <t>Representación gráfica de estructuras de pensamiento: árboles lógicos y tríadas conceptuales</t>
  </si>
  <si>
    <t>Procesador de texto (Word/Google Docs).
PDF para la entrega final.
Herramientas digitales opcionales: diagramas de flujo o mapas conceptuales (Draw.io, Lucidchart, Canva o similares).</t>
  </si>
  <si>
    <t>.El estudiante seleccionará un tema o problema cotidiano y lo representará mediante la construcción de un árbol lógico que muestre la secuencia de razonamientos y posibles conclusiones. Además, elaborará una tríada conceptual que relacione tres elementos clave del tema elegido. El trabajo deberá presentarse en un documento en PDF que incluya una breve explicación del tema, las representaciones gráficas y una reflexión sobre cómo estas herramientas contribuyen a organizar el pensamiento y facilitar la toma de decisiones.</t>
  </si>
  <si>
    <t>4. Cuarta Tarea</t>
  </si>
  <si>
    <t>Aplicación práctica de la resolución de problemas y bloqueos mentales</t>
  </si>
  <si>
    <t>El estudiante elegirá un problema cotidiano simple (académico, laboral o personal).
Describirá cómo aplicaría los pasos de resolución de problemas para solucionarlo.
Identificará un bloqueo mental que pudo aparecer en el proceso y redactará una propuesta breve de cómo superarlo.
Extensión máxima: 1 página.</t>
  </si>
  <si>
    <t>5. Quinta Tarea</t>
  </si>
  <si>
    <t>Triadas del concepto</t>
  </si>
  <si>
    <r>
      <rPr>
        <rFont val="Arial"/>
        <color theme="1"/>
      </rPr>
      <t xml:space="preserve">Word, PDF, </t>
    </r>
    <r>
      <rPr>
        <rFont val="Arial"/>
        <color rgb="FF1155CC"/>
        <u/>
      </rPr>
      <t>Draw.io</t>
    </r>
  </si>
  <si>
    <t xml:space="preserve">Se le dara una serie de conceptos a los estudaintes, de los cuales deberan identificar en cuales aplica realizar una triada del concepto completa o una triada parcial, asi como se les solicitara que en base a dos conceptos que ellos elijan hagan sus respectivas triadas del concepto completas. </t>
  </si>
  <si>
    <t>6. Sexta Tarea</t>
  </si>
  <si>
    <t>Modelos mentales y paradigmas en la toma de decisiones</t>
  </si>
  <si>
    <t>El estudiante identificará dos ejemplos prácticos donde influyan modelos mentales o paradigmas.
Analizará su impacto en la toma de decisiones.
Elaborará un esquema gráfico que muestre la relación entre modelos y decisiones.
Entregará un PDF con ejemplos, análisis y representación gráfica.</t>
  </si>
  <si>
    <t>7. Septima Tarea</t>
  </si>
  <si>
    <t>Análisis de los Paradigmas y su  Influencia en el Comportamiento Humano</t>
  </si>
  <si>
    <t>El estudiante desarrollará un documento breve en el que aplicará los pasos de resolución de problemas a una situación cotidiana simple (académica, laboral o personal). Durante el análisis, deberá identificar un posible bloqueo mental que pueda limitar la eficacia en la solución y plantear una propuesta para superarlo utilizando principios lógicos. Finalmente, redactará una conclusión corta en la que reflexione sobre la importancia de la lógica para mejorar la eficiencia en la toma de decisiones y el razonamiento crítico.</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</si>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</sst>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color rgb="FF000000"/>
      <name val="Arial"/>
    </font>
    <font/>
    <font>
      <b/>
      <sz val="13.0"/>
      <color theme="4"/>
      <name val="Arial"/>
    </font>
    <font>
      <b/>
      <sz val="12.0"/>
      <color theme="4"/>
      <name val="Arial"/>
    </font>
    <font>
      <color rgb="FF999999"/>
      <name val="Arial"/>
    </font>
    <font>
      <b/>
      <sz val="13.0"/>
      <color rgb="FF4285F4"/>
      <name val="Arial"/>
    </font>
    <font>
      <b/>
      <sz val="12.0"/>
      <color rgb="FF4285F4"/>
      <name val="Arial"/>
    </font>
    <font>
      <b/>
      <sz val="12.0"/>
      <color rgb="FFFF6D01"/>
      <name val="Arial"/>
    </font>
    <font>
      <b/>
      <sz val="12.0"/>
      <color rgb="FFFFFFFF"/>
      <name val="Arial"/>
    </font>
    <font>
      <color rgb="FFCCCCCC"/>
      <name val="Arial"/>
    </font>
    <font>
      <color rgb="FFD9D9D9"/>
      <name val="Arial"/>
    </font>
    <font>
      <sz val="10.0"/>
      <color rgb="FF000000"/>
      <name val="Arial"/>
    </font>
    <font>
      <u/>
      <color theme="1"/>
      <name val="Arial"/>
    </font>
    <font>
      <b/>
      <sz val="12.0"/>
      <color theme="1"/>
      <name val="Arial"/>
    </font>
    <font>
      <sz val="12.0"/>
      <color theme="4"/>
      <name val="Arial"/>
    </font>
    <font>
      <sz val="12.0"/>
      <color rgb="FFFFFFFF"/>
      <name val="Arial"/>
    </font>
    <font>
      <sz val="12.0"/>
      <color theme="1"/>
      <name val="Arial"/>
    </font>
  </fonts>
  <fills count="10">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Font="1"/>
    <xf borderId="0" fillId="0" fontId="4" numFmtId="0" xfId="0" applyAlignment="1" applyFont="1">
      <alignment readingOrder="0" shrinkToFit="0" wrapText="0"/>
    </xf>
    <xf borderId="0" fillId="0" fontId="8" numFmtId="0" xfId="0" applyAlignment="1" applyFont="1">
      <alignment readingOrder="0" shrinkToFit="0" vertical="bottom" wrapText="0"/>
    </xf>
    <xf borderId="0" fillId="0" fontId="4" numFmtId="0" xfId="0" applyAlignment="1" applyFont="1">
      <alignment readingOrder="0"/>
    </xf>
    <xf borderId="0" fillId="0" fontId="4" numFmtId="0" xfId="0" applyAlignment="1" applyFont="1">
      <alignment readingOrder="0" shrinkToFit="0" wrapText="1"/>
    </xf>
    <xf borderId="0" fillId="3" fontId="8" numFmtId="0" xfId="0" applyAlignment="1" applyFill="1" applyFont="1">
      <alignment readingOrder="0" shrinkToFit="0" vertical="bottom" wrapText="0"/>
    </xf>
    <xf borderId="0" fillId="3" fontId="8" numFmtId="0" xfId="0" applyAlignment="1" applyFont="1">
      <alignment readingOrder="0" vertical="bottom"/>
    </xf>
    <xf borderId="0" fillId="0" fontId="7" numFmtId="0" xfId="0" applyAlignment="1" applyFont="1">
      <alignment readingOrder="0"/>
    </xf>
    <xf borderId="0" fillId="0" fontId="4" numFmtId="0" xfId="0" applyAlignment="1" applyFont="1">
      <alignment shrinkToFit="0" wrapText="1"/>
    </xf>
    <xf borderId="1" fillId="0" fontId="3" numFmtId="0" xfId="0" applyBorder="1" applyFont="1"/>
    <xf borderId="2" fillId="0" fontId="4" numFmtId="0" xfId="0" applyBorder="1" applyFont="1"/>
    <xf borderId="3" fillId="0" fontId="9" numFmtId="0" xfId="0" applyBorder="1" applyFont="1"/>
    <xf borderId="4" fillId="0" fontId="9" numFmtId="0" xfId="0" applyBorder="1" applyFont="1"/>
    <xf borderId="1" fillId="0" fontId="4" numFmtId="0" xfId="0" applyBorder="1" applyFont="1"/>
    <xf borderId="0" fillId="0" fontId="4" numFmtId="0" xfId="0" applyAlignment="1" applyFont="1">
      <alignment horizontal="center" shrinkToFit="0" vertical="center" wrapText="1"/>
    </xf>
    <xf borderId="0" fillId="0" fontId="10" numFmtId="0" xfId="0" applyFont="1"/>
    <xf borderId="0" fillId="0" fontId="11" numFmtId="0" xfId="0" applyAlignment="1" applyFont="1">
      <alignment shrinkToFit="0" wrapText="1"/>
    </xf>
    <xf borderId="0" fillId="4" fontId="1" numFmtId="0" xfId="0" applyAlignment="1" applyFill="1" applyFont="1">
      <alignment readingOrder="0"/>
    </xf>
    <xf borderId="0" fillId="0" fontId="12" numFmtId="0" xfId="0" applyFont="1"/>
    <xf borderId="1" fillId="5" fontId="4" numFmtId="0" xfId="0" applyAlignment="1" applyBorder="1" applyFill="1" applyFont="1">
      <alignment shrinkToFit="0" vertical="bottom" wrapText="1"/>
    </xf>
    <xf borderId="3" fillId="0" fontId="4" numFmtId="0" xfId="0" applyAlignment="1" applyBorder="1" applyFont="1">
      <alignment vertical="bottom"/>
    </xf>
    <xf borderId="4" fillId="0" fontId="4" numFmtId="0" xfId="0" applyAlignment="1" applyBorder="1" applyFont="1">
      <alignment vertical="bottom"/>
    </xf>
    <xf borderId="2" fillId="0" fontId="4" numFmtId="0" xfId="0" applyAlignment="1" applyBorder="1" applyFont="1">
      <alignment readingOrder="0" vertical="bottom"/>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3" numFmtId="0" xfId="0" applyFont="1"/>
    <xf borderId="3" fillId="0" fontId="4" numFmtId="0" xfId="0" applyAlignment="1" applyBorder="1" applyFont="1">
      <alignment readingOrder="0" vertical="bottom"/>
    </xf>
    <xf borderId="4" fillId="0" fontId="4" numFmtId="0" xfId="0" applyAlignment="1" applyBorder="1" applyFont="1">
      <alignment readingOrder="0" vertical="bottom"/>
    </xf>
    <xf borderId="0" fillId="0" fontId="14" numFmtId="0" xfId="0" applyAlignment="1" applyFont="1">
      <alignment shrinkToFit="0" wrapText="1"/>
    </xf>
    <xf borderId="2" fillId="0" fontId="4" numFmtId="0" xfId="0" applyAlignment="1" applyBorder="1" applyFont="1">
      <alignment vertical="bottom"/>
    </xf>
    <xf borderId="0" fillId="0" fontId="15" numFmtId="0" xfId="0" applyFont="1"/>
    <xf borderId="2" fillId="6" fontId="4" numFmtId="0" xfId="0" applyAlignment="1" applyBorder="1" applyFill="1" applyFont="1">
      <alignment horizontal="center"/>
    </xf>
    <xf borderId="1" fillId="0" fontId="4" numFmtId="0" xfId="0" applyAlignment="1" applyBorder="1" applyFont="1">
      <alignment shrinkToFit="0" wrapText="1"/>
    </xf>
    <xf borderId="2" fillId="0" fontId="4" numFmtId="0" xfId="0" applyAlignment="1" applyBorder="1" applyFont="1">
      <alignment horizontal="center"/>
    </xf>
    <xf borderId="0" fillId="0" fontId="14" numFmtId="0" xfId="0" applyFont="1"/>
    <xf borderId="0" fillId="7" fontId="16" numFmtId="0" xfId="0" applyFill="1" applyFont="1"/>
    <xf borderId="2" fillId="5" fontId="4" numFmtId="0" xfId="0" applyAlignment="1" applyBorder="1" applyFont="1">
      <alignment readingOrder="0"/>
    </xf>
    <xf borderId="5" fillId="0" fontId="4" numFmtId="0" xfId="0" applyAlignment="1" applyBorder="1" applyFont="1">
      <alignment readingOrder="0"/>
    </xf>
    <xf borderId="6" fillId="0" fontId="9" numFmtId="0" xfId="0" applyBorder="1" applyFont="1"/>
    <xf borderId="7" fillId="0" fontId="9" numFmtId="0" xfId="0" applyBorder="1" applyFont="1"/>
    <xf borderId="8" fillId="0" fontId="9" numFmtId="0" xfId="0" applyBorder="1" applyFont="1"/>
    <xf borderId="9" fillId="0" fontId="9" numFmtId="0" xfId="0" applyBorder="1" applyFont="1"/>
    <xf borderId="10" fillId="0" fontId="9" numFmtId="0" xfId="0" applyBorder="1" applyFont="1"/>
    <xf borderId="2" fillId="5" fontId="4" numFmtId="0" xfId="0" applyBorder="1" applyFont="1"/>
    <xf borderId="0" fillId="7" fontId="16" numFmtId="0" xfId="0" applyAlignment="1" applyFont="1">
      <alignment readingOrder="0"/>
    </xf>
    <xf borderId="0" fillId="0" fontId="11" numFmtId="0" xfId="0" applyFont="1"/>
    <xf borderId="1" fillId="8" fontId="4" numFmtId="0" xfId="0" applyBorder="1" applyFill="1" applyFont="1"/>
    <xf borderId="2" fillId="8" fontId="4" numFmtId="0" xfId="0" applyBorder="1" applyFont="1"/>
    <xf borderId="1" fillId="0" fontId="7" numFmtId="0" xfId="0" applyAlignment="1" applyBorder="1" applyFont="1">
      <alignment readingOrder="0"/>
    </xf>
    <xf borderId="1" fillId="0" fontId="7" numFmtId="0" xfId="0" applyBorder="1" applyFont="1"/>
    <xf borderId="2" fillId="0" fontId="7" numFmtId="0" xfId="0" applyBorder="1" applyFont="1"/>
    <xf borderId="1" fillId="0" fontId="4" numFmtId="0" xfId="0" applyAlignment="1" applyBorder="1" applyFont="1">
      <alignment readingOrder="0"/>
    </xf>
    <xf borderId="1" fillId="3" fontId="4" numFmtId="0" xfId="0" applyAlignment="1" applyBorder="1" applyFont="1">
      <alignment readingOrder="0"/>
    </xf>
    <xf borderId="1" fillId="3" fontId="4" numFmtId="0" xfId="0" applyBorder="1" applyFont="1"/>
    <xf borderId="2" fillId="3" fontId="4" numFmtId="0" xfId="0" applyBorder="1" applyFont="1"/>
    <xf borderId="0" fillId="3" fontId="4" numFmtId="0" xfId="0" applyFont="1"/>
    <xf borderId="0" fillId="3" fontId="11" numFmtId="0" xfId="0" applyFont="1"/>
    <xf borderId="1" fillId="9" fontId="4" numFmtId="0" xfId="0" applyBorder="1" applyFill="1" applyFont="1"/>
    <xf borderId="2" fillId="9" fontId="4" numFmtId="0" xfId="0" applyBorder="1" applyFont="1"/>
    <xf borderId="2" fillId="0" fontId="17" numFmtId="0" xfId="0" applyBorder="1" applyFont="1"/>
    <xf borderId="0" fillId="0" fontId="17" numFmtId="0" xfId="0" applyFont="1"/>
    <xf borderId="11" fillId="0" fontId="9" numFmtId="0" xfId="0" applyBorder="1" applyFont="1"/>
    <xf borderId="12" fillId="0" fontId="9" numFmtId="0" xfId="0" applyBorder="1" applyFont="1"/>
    <xf borderId="0" fillId="0" fontId="18" numFmtId="0" xfId="0" applyFont="1"/>
    <xf borderId="2" fillId="0" fontId="17" numFmtId="0" xfId="0" applyAlignment="1" applyBorder="1" applyFont="1">
      <alignment readingOrder="0"/>
    </xf>
    <xf borderId="5" fillId="0" fontId="4" numFmtId="0" xfId="0" applyAlignment="1" applyBorder="1" applyFont="1">
      <alignment horizontal="left" readingOrder="0" vertical="center"/>
    </xf>
    <xf borderId="5" fillId="0" fontId="4" numFmtId="0" xfId="0" applyBorder="1" applyFont="1"/>
    <xf borderId="3" fillId="0" fontId="4" numFmtId="0" xfId="0" applyBorder="1" applyFont="1"/>
    <xf borderId="4" fillId="0" fontId="4" numFmtId="0" xfId="0" applyBorder="1" applyFont="1"/>
    <xf borderId="1" fillId="0" fontId="8" numFmtId="0" xfId="0" applyAlignment="1" applyBorder="1" applyFont="1">
      <alignment readingOrder="0" shrinkToFit="0" vertical="bottom" wrapText="0"/>
    </xf>
    <xf borderId="6" fillId="0" fontId="4" numFmtId="0" xfId="0" applyBorder="1" applyFont="1"/>
    <xf borderId="7" fillId="0" fontId="4" numFmtId="0" xfId="0" applyBorder="1" applyFont="1"/>
    <xf borderId="11" fillId="0" fontId="4" numFmtId="0" xfId="0" applyBorder="1" applyFont="1"/>
    <xf borderId="12" fillId="0" fontId="4" numFmtId="0" xfId="0" applyBorder="1" applyFont="1"/>
    <xf borderId="8" fillId="0" fontId="4" numFmtId="0" xfId="0" applyBorder="1" applyFont="1"/>
    <xf borderId="9" fillId="0" fontId="4" numFmtId="0" xfId="0" applyBorder="1" applyFont="1"/>
    <xf borderId="10" fillId="0" fontId="4" numFmtId="0" xfId="0" applyBorder="1" applyFont="1"/>
    <xf borderId="5" fillId="0" fontId="4" numFmtId="0" xfId="0" applyAlignment="1" applyBorder="1" applyFont="1">
      <alignment readingOrder="0" shrinkToFit="0" wrapText="1"/>
    </xf>
    <xf borderId="1" fillId="0" fontId="19" numFmtId="0" xfId="0" applyAlignment="1" applyBorder="1" applyFont="1">
      <alignment readingOrder="0"/>
    </xf>
    <xf borderId="1" fillId="0" fontId="4" numFmtId="0" xfId="0" applyAlignment="1" applyBorder="1" applyFont="1">
      <alignment vertical="bottom"/>
    </xf>
    <xf borderId="2" fillId="0" fontId="4" numFmtId="0" xfId="0" applyAlignment="1" applyBorder="1" applyFont="1">
      <alignment horizontal="right" vertical="bottom"/>
    </xf>
    <xf borderId="5" fillId="0" fontId="4" numFmtId="0" xfId="0" applyAlignment="1" applyBorder="1" applyFont="1">
      <alignment vertical="center"/>
    </xf>
    <xf borderId="2" fillId="0" fontId="8" numFmtId="0" xfId="0" applyAlignment="1" applyBorder="1" applyFont="1">
      <alignment readingOrder="0"/>
    </xf>
    <xf borderId="5" fillId="0" fontId="4" numFmtId="0" xfId="0" applyAlignment="1" applyBorder="1" applyFont="1">
      <alignment readingOrder="0" vertical="center"/>
    </xf>
    <xf borderId="5" fillId="0" fontId="20" numFmtId="0" xfId="0" applyAlignment="1" applyBorder="1" applyFont="1">
      <alignment readingOrder="0"/>
    </xf>
    <xf borderId="5" fillId="0" fontId="4" numFmtId="0" xfId="0" applyAlignment="1" applyBorder="1" applyFont="1">
      <alignment readingOrder="0" shrinkToFit="0" wrapText="0"/>
    </xf>
    <xf borderId="5" fillId="0" fontId="4" numFmtId="0" xfId="0" applyAlignment="1" applyBorder="1" applyFont="1">
      <alignment horizontal="left" readingOrder="0" shrinkToFit="0" vertical="center" wrapText="1"/>
    </xf>
    <xf borderId="0" fillId="0" fontId="21" numFmtId="0" xfId="0" applyFont="1"/>
    <xf borderId="0" fillId="4" fontId="22" numFmtId="0" xfId="0" applyFont="1"/>
    <xf borderId="0" fillId="4" fontId="23" numFmtId="0" xfId="0" applyFont="1"/>
    <xf borderId="0" fillId="0" fontId="22" numFmtId="0" xfId="0" applyFont="1"/>
    <xf borderId="0" fillId="0" fontId="5" numFmtId="0" xfId="0" applyAlignment="1" applyFont="1">
      <alignment shrinkToFit="0" wrapText="1"/>
    </xf>
    <xf borderId="0" fillId="0" fontId="24" numFmtId="0" xfId="0" applyAlignment="1" applyFont="1">
      <alignment shrinkToFit="0" wrapText="1"/>
    </xf>
    <xf borderId="0" fillId="0" fontId="24" numFmtId="0" xfId="0" applyFont="1"/>
    <xf borderId="1" fillId="8" fontId="24" numFmtId="0" xfId="0" applyAlignment="1" applyBorder="1" applyFont="1">
      <alignment shrinkToFit="0" wrapText="1"/>
    </xf>
    <xf borderId="1" fillId="8" fontId="24"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raw.io/" TargetMode="External"/><Relationship Id="rId3" Type="http://schemas.openxmlformats.org/officeDocument/2006/relationships/hyperlink" Target="http://draw.io/"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123.25"/>
    <col customWidth="1" min="4" max="4" width="43.75"/>
    <col customWidth="1" min="5" max="5" width="39.38"/>
    <col customWidth="1" min="6" max="6" width="71.75"/>
  </cols>
  <sheetData>
    <row r="1" ht="15.75" customHeight="1"/>
    <row r="2" ht="15.75" customHeight="1">
      <c r="A2" s="1">
        <f>VALUE(LEFT(C4,FIND(" - ",C4)-1))</f>
        <v>795</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f>1</f>
        <v>1</v>
      </c>
      <c r="C9" s="11" t="s">
        <v>12</v>
      </c>
      <c r="D9" s="12" t="s">
        <v>13</v>
      </c>
      <c r="E9" s="12" t="s">
        <v>14</v>
      </c>
      <c r="F9" s="12" t="s">
        <v>15</v>
      </c>
      <c r="G9" s="13" t="s">
        <v>16</v>
      </c>
      <c r="H9" s="5">
        <v>2.0</v>
      </c>
    </row>
    <row r="10" ht="15.75" customHeight="1">
      <c r="B10" s="10">
        <f t="shared" ref="B10:B102" si="1">1+B9</f>
        <v>2</v>
      </c>
      <c r="C10" s="14" t="s">
        <v>12</v>
      </c>
      <c r="D10" s="12" t="s">
        <v>13</v>
      </c>
      <c r="E10" s="12" t="s">
        <v>14</v>
      </c>
      <c r="F10" s="12" t="s">
        <v>17</v>
      </c>
      <c r="G10" s="13" t="s">
        <v>16</v>
      </c>
      <c r="H10" s="13">
        <v>2.0</v>
      </c>
    </row>
    <row r="11" ht="15.75" customHeight="1">
      <c r="B11" s="10">
        <f t="shared" si="1"/>
        <v>3</v>
      </c>
      <c r="C11" s="14" t="s">
        <v>12</v>
      </c>
      <c r="D11" s="12" t="s">
        <v>13</v>
      </c>
      <c r="E11" s="12" t="s">
        <v>14</v>
      </c>
      <c r="F11" s="12" t="s">
        <v>18</v>
      </c>
      <c r="G11" s="13" t="s">
        <v>16</v>
      </c>
      <c r="H11" s="13">
        <v>2.0</v>
      </c>
    </row>
    <row r="12" ht="15.75" customHeight="1">
      <c r="B12" s="10">
        <f t="shared" si="1"/>
        <v>4</v>
      </c>
      <c r="C12" s="14" t="s">
        <v>12</v>
      </c>
      <c r="D12" s="12" t="s">
        <v>13</v>
      </c>
      <c r="E12" s="12" t="s">
        <v>14</v>
      </c>
      <c r="F12" s="15" t="s">
        <v>19</v>
      </c>
      <c r="G12" s="13" t="s">
        <v>16</v>
      </c>
      <c r="H12" s="13">
        <v>2.0</v>
      </c>
    </row>
    <row r="13" ht="15.75" customHeight="1">
      <c r="B13" s="10">
        <f t="shared" si="1"/>
        <v>5</v>
      </c>
      <c r="C13" s="14" t="s">
        <v>12</v>
      </c>
      <c r="D13" s="12" t="s">
        <v>13</v>
      </c>
      <c r="E13" s="12" t="s">
        <v>14</v>
      </c>
      <c r="F13" s="12" t="s">
        <v>20</v>
      </c>
      <c r="G13" s="13" t="s">
        <v>16</v>
      </c>
      <c r="H13" s="13">
        <v>2.0</v>
      </c>
    </row>
    <row r="14" ht="15.75" customHeight="1">
      <c r="B14" s="10">
        <f t="shared" si="1"/>
        <v>6</v>
      </c>
      <c r="C14" s="14" t="s">
        <v>12</v>
      </c>
      <c r="D14" s="12" t="s">
        <v>13</v>
      </c>
      <c r="E14" s="12" t="s">
        <v>14</v>
      </c>
      <c r="F14" s="12" t="s">
        <v>21</v>
      </c>
      <c r="G14" s="13" t="s">
        <v>16</v>
      </c>
      <c r="H14" s="13">
        <v>2.0</v>
      </c>
    </row>
    <row r="15" ht="15.75" customHeight="1">
      <c r="B15" s="10">
        <f t="shared" si="1"/>
        <v>7</v>
      </c>
      <c r="C15" s="14" t="s">
        <v>12</v>
      </c>
      <c r="D15" s="12" t="s">
        <v>13</v>
      </c>
      <c r="E15" s="12" t="s">
        <v>14</v>
      </c>
      <c r="F15" s="12" t="s">
        <v>22</v>
      </c>
      <c r="G15" s="13" t="s">
        <v>16</v>
      </c>
      <c r="H15" s="13">
        <v>2.0</v>
      </c>
    </row>
    <row r="16" ht="15.75" customHeight="1">
      <c r="B16" s="10">
        <f t="shared" si="1"/>
        <v>8</v>
      </c>
      <c r="C16" s="14" t="s">
        <v>12</v>
      </c>
      <c r="D16" s="12" t="s">
        <v>13</v>
      </c>
      <c r="E16" s="12" t="s">
        <v>23</v>
      </c>
      <c r="F16" s="12" t="s">
        <v>24</v>
      </c>
      <c r="G16" s="13" t="s">
        <v>16</v>
      </c>
      <c r="H16" s="13">
        <v>2.0</v>
      </c>
    </row>
    <row r="17" ht="15.75" customHeight="1">
      <c r="B17" s="10">
        <f t="shared" si="1"/>
        <v>9</v>
      </c>
      <c r="C17" s="14" t="s">
        <v>12</v>
      </c>
      <c r="D17" s="12" t="s">
        <v>13</v>
      </c>
      <c r="E17" s="12" t="s">
        <v>23</v>
      </c>
      <c r="F17" s="12" t="s">
        <v>25</v>
      </c>
      <c r="G17" s="13" t="s">
        <v>16</v>
      </c>
      <c r="H17" s="13">
        <v>2.0</v>
      </c>
    </row>
    <row r="18" ht="15.75" customHeight="1">
      <c r="B18" s="10">
        <f t="shared" si="1"/>
        <v>10</v>
      </c>
      <c r="C18" s="14" t="s">
        <v>12</v>
      </c>
      <c r="D18" s="12" t="s">
        <v>13</v>
      </c>
      <c r="E18" s="12" t="s">
        <v>23</v>
      </c>
      <c r="F18" s="12" t="s">
        <v>26</v>
      </c>
      <c r="G18" s="13" t="s">
        <v>16</v>
      </c>
      <c r="H18" s="13">
        <v>2.0</v>
      </c>
    </row>
    <row r="19" ht="15.75" customHeight="1">
      <c r="B19" s="10">
        <f t="shared" si="1"/>
        <v>11</v>
      </c>
      <c r="C19" s="14" t="s">
        <v>12</v>
      </c>
      <c r="D19" s="12" t="s">
        <v>13</v>
      </c>
      <c r="E19" s="12" t="s">
        <v>23</v>
      </c>
      <c r="F19" s="12" t="s">
        <v>27</v>
      </c>
      <c r="G19" s="13" t="s">
        <v>16</v>
      </c>
      <c r="H19" s="13">
        <v>2.0</v>
      </c>
    </row>
    <row r="20" ht="15.75" customHeight="1">
      <c r="B20" s="10">
        <f t="shared" si="1"/>
        <v>12</v>
      </c>
      <c r="C20" s="14" t="s">
        <v>12</v>
      </c>
      <c r="D20" s="12" t="s">
        <v>13</v>
      </c>
      <c r="E20" s="12" t="s">
        <v>23</v>
      </c>
      <c r="F20" s="12" t="s">
        <v>28</v>
      </c>
      <c r="G20" s="13" t="s">
        <v>16</v>
      </c>
      <c r="H20" s="13">
        <v>2.0</v>
      </c>
    </row>
    <row r="21" ht="15.75" customHeight="1">
      <c r="B21" s="10">
        <f t="shared" si="1"/>
        <v>13</v>
      </c>
      <c r="C21" s="14" t="s">
        <v>12</v>
      </c>
      <c r="D21" s="12" t="s">
        <v>13</v>
      </c>
      <c r="E21" s="12" t="s">
        <v>23</v>
      </c>
      <c r="F21" s="12" t="s">
        <v>29</v>
      </c>
      <c r="G21" s="13" t="s">
        <v>16</v>
      </c>
      <c r="H21" s="13">
        <v>2.0</v>
      </c>
    </row>
    <row r="22" ht="15.75" customHeight="1">
      <c r="B22" s="10">
        <f t="shared" si="1"/>
        <v>14</v>
      </c>
      <c r="C22" s="14" t="s">
        <v>12</v>
      </c>
      <c r="D22" s="12" t="s">
        <v>30</v>
      </c>
      <c r="E22" s="12" t="s">
        <v>31</v>
      </c>
      <c r="F22" s="12" t="s">
        <v>32</v>
      </c>
      <c r="G22" s="13" t="s">
        <v>16</v>
      </c>
      <c r="H22" s="13">
        <v>3.0</v>
      </c>
    </row>
    <row r="23" ht="15.75" customHeight="1">
      <c r="B23" s="10">
        <f t="shared" si="1"/>
        <v>15</v>
      </c>
      <c r="C23" s="14" t="s">
        <v>33</v>
      </c>
      <c r="D23" s="12" t="s">
        <v>30</v>
      </c>
      <c r="E23" s="12" t="s">
        <v>31</v>
      </c>
      <c r="F23" s="12" t="s">
        <v>34</v>
      </c>
      <c r="G23" s="13" t="s">
        <v>16</v>
      </c>
      <c r="H23" s="13">
        <v>3.0</v>
      </c>
    </row>
    <row r="24" ht="15.75" customHeight="1">
      <c r="B24" s="10">
        <f t="shared" si="1"/>
        <v>16</v>
      </c>
      <c r="C24" s="14" t="s">
        <v>33</v>
      </c>
      <c r="D24" s="12" t="s">
        <v>30</v>
      </c>
      <c r="E24" s="12" t="s">
        <v>31</v>
      </c>
      <c r="F24" s="12" t="s">
        <v>35</v>
      </c>
      <c r="G24" s="13" t="s">
        <v>16</v>
      </c>
      <c r="H24" s="13">
        <v>3.0</v>
      </c>
    </row>
    <row r="25" ht="15.75" customHeight="1">
      <c r="B25" s="10">
        <f t="shared" si="1"/>
        <v>17</v>
      </c>
      <c r="C25" s="14" t="s">
        <v>33</v>
      </c>
      <c r="D25" s="12" t="s">
        <v>30</v>
      </c>
      <c r="E25" s="12" t="s">
        <v>31</v>
      </c>
      <c r="F25" s="12" t="s">
        <v>36</v>
      </c>
      <c r="G25" s="13" t="s">
        <v>16</v>
      </c>
      <c r="H25" s="13">
        <v>3.0</v>
      </c>
    </row>
    <row r="26" ht="15.75" customHeight="1">
      <c r="B26" s="10">
        <f t="shared" si="1"/>
        <v>18</v>
      </c>
      <c r="C26" s="14" t="s">
        <v>33</v>
      </c>
      <c r="D26" s="12" t="s">
        <v>30</v>
      </c>
      <c r="E26" s="12" t="s">
        <v>31</v>
      </c>
      <c r="F26" s="12" t="s">
        <v>37</v>
      </c>
      <c r="G26" s="13" t="s">
        <v>16</v>
      </c>
      <c r="H26" s="13">
        <v>3.0</v>
      </c>
    </row>
    <row r="27" ht="15.75" customHeight="1">
      <c r="B27" s="10">
        <f t="shared" si="1"/>
        <v>19</v>
      </c>
      <c r="C27" s="14" t="s">
        <v>33</v>
      </c>
      <c r="D27" s="12" t="s">
        <v>30</v>
      </c>
      <c r="E27" s="12" t="s">
        <v>31</v>
      </c>
      <c r="F27" s="12" t="s">
        <v>38</v>
      </c>
      <c r="G27" s="13" t="s">
        <v>16</v>
      </c>
      <c r="H27" s="13">
        <v>3.0</v>
      </c>
    </row>
    <row r="28" ht="15.75" customHeight="1">
      <c r="B28" s="10">
        <f t="shared" si="1"/>
        <v>20</v>
      </c>
      <c r="C28" s="14" t="s">
        <v>33</v>
      </c>
      <c r="D28" s="12" t="s">
        <v>30</v>
      </c>
      <c r="E28" s="12" t="s">
        <v>31</v>
      </c>
      <c r="F28" s="12" t="s">
        <v>39</v>
      </c>
      <c r="G28" s="13" t="s">
        <v>16</v>
      </c>
      <c r="H28" s="13">
        <v>3.0</v>
      </c>
    </row>
    <row r="29" ht="15.75" customHeight="1">
      <c r="B29" s="10">
        <f t="shared" si="1"/>
        <v>21</v>
      </c>
      <c r="C29" s="14" t="s">
        <v>33</v>
      </c>
      <c r="D29" s="12" t="s">
        <v>30</v>
      </c>
      <c r="E29" s="12" t="s">
        <v>40</v>
      </c>
      <c r="F29" s="12" t="s">
        <v>41</v>
      </c>
      <c r="G29" s="13" t="s">
        <v>16</v>
      </c>
      <c r="H29" s="13">
        <v>3.0</v>
      </c>
    </row>
    <row r="30" ht="15.75" customHeight="1">
      <c r="B30" s="10">
        <f t="shared" si="1"/>
        <v>22</v>
      </c>
      <c r="C30" s="14" t="s">
        <v>33</v>
      </c>
      <c r="D30" s="12" t="s">
        <v>30</v>
      </c>
      <c r="E30" s="12" t="s">
        <v>40</v>
      </c>
      <c r="F30" s="12" t="s">
        <v>42</v>
      </c>
      <c r="G30" s="13" t="s">
        <v>16</v>
      </c>
      <c r="H30" s="13">
        <v>3.0</v>
      </c>
    </row>
    <row r="31" ht="15.75" customHeight="1">
      <c r="B31" s="10">
        <f t="shared" si="1"/>
        <v>23</v>
      </c>
      <c r="C31" s="14" t="s">
        <v>33</v>
      </c>
      <c r="D31" s="12" t="s">
        <v>30</v>
      </c>
      <c r="E31" s="12" t="s">
        <v>40</v>
      </c>
      <c r="F31" s="12" t="s">
        <v>43</v>
      </c>
      <c r="G31" s="13" t="s">
        <v>16</v>
      </c>
      <c r="H31" s="13">
        <v>3.0</v>
      </c>
    </row>
    <row r="32" ht="15.75" customHeight="1">
      <c r="B32" s="10">
        <f t="shared" si="1"/>
        <v>24</v>
      </c>
      <c r="C32" s="14" t="s">
        <v>33</v>
      </c>
      <c r="D32" s="12" t="s">
        <v>30</v>
      </c>
      <c r="E32" s="12" t="s">
        <v>40</v>
      </c>
      <c r="F32" s="12" t="s">
        <v>44</v>
      </c>
      <c r="G32" s="13" t="s">
        <v>16</v>
      </c>
      <c r="H32" s="13">
        <v>3.0</v>
      </c>
    </row>
    <row r="33" ht="15.75" customHeight="1">
      <c r="B33" s="10">
        <f t="shared" si="1"/>
        <v>25</v>
      </c>
      <c r="C33" s="14" t="s">
        <v>33</v>
      </c>
      <c r="D33" s="12" t="s">
        <v>30</v>
      </c>
      <c r="E33" s="12" t="s">
        <v>40</v>
      </c>
      <c r="F33" s="12" t="s">
        <v>45</v>
      </c>
      <c r="G33" s="13" t="s">
        <v>16</v>
      </c>
      <c r="H33" s="13">
        <v>3.0</v>
      </c>
    </row>
    <row r="34" ht="15.75" customHeight="1">
      <c r="B34" s="10">
        <f t="shared" si="1"/>
        <v>26</v>
      </c>
      <c r="C34" s="14" t="s">
        <v>33</v>
      </c>
      <c r="D34" s="12" t="s">
        <v>30</v>
      </c>
      <c r="E34" s="12" t="s">
        <v>40</v>
      </c>
      <c r="F34" s="12" t="s">
        <v>46</v>
      </c>
      <c r="G34" s="13" t="s">
        <v>16</v>
      </c>
      <c r="H34" s="13">
        <v>3.0</v>
      </c>
    </row>
    <row r="35" ht="15.75" customHeight="1">
      <c r="B35" s="10">
        <f t="shared" si="1"/>
        <v>27</v>
      </c>
      <c r="C35" s="14" t="s">
        <v>33</v>
      </c>
      <c r="D35" s="12" t="s">
        <v>30</v>
      </c>
      <c r="E35" s="12" t="s">
        <v>40</v>
      </c>
      <c r="F35" s="12" t="s">
        <v>47</v>
      </c>
      <c r="G35" s="13" t="s">
        <v>16</v>
      </c>
      <c r="H35" s="13">
        <v>3.0</v>
      </c>
    </row>
    <row r="36" ht="15.75" customHeight="1">
      <c r="B36" s="10">
        <f t="shared" si="1"/>
        <v>28</v>
      </c>
      <c r="C36" s="14" t="s">
        <v>12</v>
      </c>
      <c r="D36" s="12" t="s">
        <v>48</v>
      </c>
      <c r="E36" s="12" t="s">
        <v>48</v>
      </c>
      <c r="F36" s="12" t="s">
        <v>17</v>
      </c>
      <c r="G36" s="13" t="s">
        <v>16</v>
      </c>
      <c r="H36" s="13">
        <v>4.0</v>
      </c>
    </row>
    <row r="37" ht="15.75" customHeight="1">
      <c r="B37" s="10">
        <f t="shared" si="1"/>
        <v>29</v>
      </c>
      <c r="C37" s="14" t="s">
        <v>12</v>
      </c>
      <c r="D37" s="12" t="s">
        <v>48</v>
      </c>
      <c r="E37" s="12" t="s">
        <v>48</v>
      </c>
      <c r="F37" s="12" t="s">
        <v>20</v>
      </c>
      <c r="G37" s="13" t="s">
        <v>16</v>
      </c>
      <c r="H37" s="13">
        <v>4.0</v>
      </c>
    </row>
    <row r="38" ht="15.75" customHeight="1">
      <c r="B38" s="10">
        <f t="shared" si="1"/>
        <v>30</v>
      </c>
      <c r="C38" s="14" t="s">
        <v>12</v>
      </c>
      <c r="D38" s="12" t="s">
        <v>48</v>
      </c>
      <c r="E38" s="12" t="s">
        <v>48</v>
      </c>
      <c r="F38" s="12" t="s">
        <v>22</v>
      </c>
      <c r="G38" s="13" t="s">
        <v>16</v>
      </c>
      <c r="H38" s="13">
        <v>4.0</v>
      </c>
    </row>
    <row r="39" ht="15.75" customHeight="1">
      <c r="B39" s="10">
        <f t="shared" si="1"/>
        <v>31</v>
      </c>
      <c r="C39" s="14" t="s">
        <v>12</v>
      </c>
      <c r="D39" s="12" t="s">
        <v>48</v>
      </c>
      <c r="E39" s="12" t="s">
        <v>48</v>
      </c>
      <c r="F39" s="12" t="s">
        <v>18</v>
      </c>
      <c r="G39" s="13" t="s">
        <v>16</v>
      </c>
      <c r="H39" s="13">
        <v>4.0</v>
      </c>
    </row>
    <row r="40" ht="15.75" customHeight="1">
      <c r="B40" s="10">
        <f t="shared" si="1"/>
        <v>32</v>
      </c>
      <c r="C40" s="14" t="s">
        <v>33</v>
      </c>
      <c r="D40" s="12" t="s">
        <v>48</v>
      </c>
      <c r="E40" s="16" t="s">
        <v>48</v>
      </c>
      <c r="F40" s="12" t="s">
        <v>32</v>
      </c>
      <c r="G40" s="13" t="s">
        <v>16</v>
      </c>
      <c r="H40" s="13">
        <v>4.0</v>
      </c>
    </row>
    <row r="41" ht="15.75" customHeight="1">
      <c r="B41" s="10">
        <f t="shared" si="1"/>
        <v>33</v>
      </c>
      <c r="C41" s="14" t="s">
        <v>33</v>
      </c>
      <c r="D41" s="12" t="s">
        <v>48</v>
      </c>
      <c r="E41" s="16" t="s">
        <v>48</v>
      </c>
      <c r="F41" s="12" t="s">
        <v>36</v>
      </c>
      <c r="G41" s="13" t="s">
        <v>16</v>
      </c>
      <c r="H41" s="13">
        <v>4.0</v>
      </c>
    </row>
    <row r="42" ht="15.75" customHeight="1">
      <c r="B42" s="10">
        <f t="shared" si="1"/>
        <v>34</v>
      </c>
      <c r="C42" s="14" t="s">
        <v>33</v>
      </c>
      <c r="D42" s="12" t="s">
        <v>48</v>
      </c>
      <c r="E42" s="16" t="s">
        <v>48</v>
      </c>
      <c r="F42" s="15" t="s">
        <v>45</v>
      </c>
      <c r="G42" s="13" t="s">
        <v>16</v>
      </c>
      <c r="H42" s="13">
        <v>4.0</v>
      </c>
    </row>
    <row r="43" ht="15.75" customHeight="1">
      <c r="B43" s="10">
        <f t="shared" si="1"/>
        <v>35</v>
      </c>
      <c r="C43" s="14" t="s">
        <v>49</v>
      </c>
      <c r="D43" s="12" t="s">
        <v>50</v>
      </c>
      <c r="E43" s="16" t="s">
        <v>51</v>
      </c>
      <c r="F43" s="12" t="s">
        <v>52</v>
      </c>
      <c r="G43" s="13" t="s">
        <v>16</v>
      </c>
      <c r="H43" s="13">
        <v>5.0</v>
      </c>
    </row>
    <row r="44" ht="15.75" customHeight="1">
      <c r="B44" s="10">
        <f t="shared" si="1"/>
        <v>36</v>
      </c>
      <c r="C44" s="14" t="s">
        <v>49</v>
      </c>
      <c r="D44" s="12" t="s">
        <v>50</v>
      </c>
      <c r="E44" s="16" t="s">
        <v>51</v>
      </c>
      <c r="F44" s="12" t="s">
        <v>53</v>
      </c>
      <c r="G44" s="13" t="s">
        <v>16</v>
      </c>
      <c r="H44" s="13">
        <v>5.0</v>
      </c>
    </row>
    <row r="45" ht="15.75" customHeight="1">
      <c r="B45" s="10">
        <f t="shared" si="1"/>
        <v>37</v>
      </c>
      <c r="C45" s="14" t="s">
        <v>49</v>
      </c>
      <c r="D45" s="12" t="s">
        <v>50</v>
      </c>
      <c r="E45" s="16" t="s">
        <v>51</v>
      </c>
      <c r="F45" s="12" t="s">
        <v>54</v>
      </c>
      <c r="G45" s="13" t="s">
        <v>16</v>
      </c>
      <c r="H45" s="13">
        <v>5.0</v>
      </c>
    </row>
    <row r="46" ht="15.75" customHeight="1">
      <c r="B46" s="10">
        <f t="shared" si="1"/>
        <v>38</v>
      </c>
      <c r="C46" s="14" t="s">
        <v>49</v>
      </c>
      <c r="D46" s="12" t="s">
        <v>50</v>
      </c>
      <c r="E46" s="16" t="s">
        <v>51</v>
      </c>
      <c r="F46" s="12" t="s">
        <v>55</v>
      </c>
      <c r="G46" s="13" t="s">
        <v>16</v>
      </c>
      <c r="H46" s="13">
        <v>5.0</v>
      </c>
    </row>
    <row r="47" ht="15.75" customHeight="1">
      <c r="B47" s="10">
        <f t="shared" si="1"/>
        <v>39</v>
      </c>
      <c r="C47" s="14" t="s">
        <v>33</v>
      </c>
      <c r="D47" s="12" t="s">
        <v>50</v>
      </c>
      <c r="E47" s="16" t="s">
        <v>51</v>
      </c>
      <c r="F47" s="12" t="s">
        <v>56</v>
      </c>
      <c r="G47" s="13" t="s">
        <v>16</v>
      </c>
      <c r="H47" s="13">
        <v>5.0</v>
      </c>
    </row>
    <row r="48" ht="15.75" customHeight="1">
      <c r="B48" s="10">
        <f t="shared" si="1"/>
        <v>40</v>
      </c>
      <c r="C48" s="14" t="s">
        <v>33</v>
      </c>
      <c r="D48" s="12" t="s">
        <v>50</v>
      </c>
      <c r="E48" s="16" t="s">
        <v>51</v>
      </c>
      <c r="F48" s="12" t="s">
        <v>57</v>
      </c>
      <c r="G48" s="13" t="s">
        <v>16</v>
      </c>
      <c r="H48" s="13">
        <v>5.0</v>
      </c>
    </row>
    <row r="49" ht="15.75" customHeight="1">
      <c r="B49" s="10">
        <f t="shared" si="1"/>
        <v>41</v>
      </c>
      <c r="C49" s="14" t="s">
        <v>49</v>
      </c>
      <c r="D49" s="12" t="s">
        <v>50</v>
      </c>
      <c r="E49" s="16" t="s">
        <v>51</v>
      </c>
      <c r="F49" s="12" t="s">
        <v>58</v>
      </c>
      <c r="G49" s="13" t="s">
        <v>16</v>
      </c>
      <c r="H49" s="13">
        <v>5.0</v>
      </c>
    </row>
    <row r="50" ht="15.75" customHeight="1">
      <c r="B50" s="10">
        <f t="shared" si="1"/>
        <v>42</v>
      </c>
      <c r="C50" s="14" t="s">
        <v>49</v>
      </c>
      <c r="D50" s="12" t="s">
        <v>50</v>
      </c>
      <c r="E50" s="12" t="s">
        <v>59</v>
      </c>
      <c r="F50" s="12" t="s">
        <v>60</v>
      </c>
      <c r="G50" s="13" t="s">
        <v>16</v>
      </c>
      <c r="H50" s="13">
        <v>5.0</v>
      </c>
    </row>
    <row r="51" ht="15.75" customHeight="1">
      <c r="B51" s="10">
        <f t="shared" si="1"/>
        <v>43</v>
      </c>
      <c r="C51" s="14" t="s">
        <v>49</v>
      </c>
      <c r="D51" s="12" t="s">
        <v>50</v>
      </c>
      <c r="E51" s="12" t="s">
        <v>59</v>
      </c>
      <c r="F51" s="12" t="s">
        <v>61</v>
      </c>
      <c r="G51" s="13" t="s">
        <v>16</v>
      </c>
      <c r="H51" s="13">
        <v>5.0</v>
      </c>
    </row>
    <row r="52" ht="15.75" customHeight="1">
      <c r="B52" s="10">
        <f t="shared" si="1"/>
        <v>44</v>
      </c>
      <c r="C52" s="14" t="s">
        <v>49</v>
      </c>
      <c r="D52" s="12" t="s">
        <v>50</v>
      </c>
      <c r="E52" s="12" t="s">
        <v>59</v>
      </c>
      <c r="F52" s="12" t="s">
        <v>62</v>
      </c>
      <c r="G52" s="13" t="s">
        <v>16</v>
      </c>
      <c r="H52" s="13">
        <v>5.0</v>
      </c>
    </row>
    <row r="53" ht="15.75" customHeight="1">
      <c r="B53" s="10">
        <f t="shared" si="1"/>
        <v>45</v>
      </c>
      <c r="C53" s="14" t="s">
        <v>49</v>
      </c>
      <c r="D53" s="12" t="s">
        <v>50</v>
      </c>
      <c r="E53" s="12" t="s">
        <v>59</v>
      </c>
      <c r="F53" s="12" t="s">
        <v>63</v>
      </c>
      <c r="G53" s="13" t="s">
        <v>16</v>
      </c>
      <c r="H53" s="13">
        <v>5.0</v>
      </c>
    </row>
    <row r="54" ht="15.75" customHeight="1">
      <c r="B54" s="10">
        <f t="shared" si="1"/>
        <v>46</v>
      </c>
      <c r="C54" s="14" t="s">
        <v>49</v>
      </c>
      <c r="D54" s="12" t="s">
        <v>50</v>
      </c>
      <c r="E54" s="12" t="s">
        <v>59</v>
      </c>
      <c r="F54" s="12" t="s">
        <v>64</v>
      </c>
      <c r="G54" s="17" t="s">
        <v>65</v>
      </c>
      <c r="H54" s="13">
        <v>6.0</v>
      </c>
    </row>
    <row r="55" ht="15.75" customHeight="1">
      <c r="B55" s="10">
        <f t="shared" si="1"/>
        <v>47</v>
      </c>
      <c r="C55" s="14" t="s">
        <v>49</v>
      </c>
      <c r="D55" s="12" t="s">
        <v>50</v>
      </c>
      <c r="E55" s="12" t="s">
        <v>59</v>
      </c>
      <c r="F55" s="12" t="s">
        <v>66</v>
      </c>
      <c r="G55" s="17" t="s">
        <v>65</v>
      </c>
      <c r="H55" s="13">
        <v>6.0</v>
      </c>
    </row>
    <row r="56" ht="15.75" customHeight="1">
      <c r="B56" s="10">
        <f t="shared" si="1"/>
        <v>48</v>
      </c>
      <c r="C56" s="14" t="s">
        <v>67</v>
      </c>
      <c r="D56" s="12" t="s">
        <v>68</v>
      </c>
      <c r="E56" s="12" t="s">
        <v>69</v>
      </c>
      <c r="F56" s="12" t="s">
        <v>70</v>
      </c>
      <c r="G56" s="17" t="s">
        <v>65</v>
      </c>
      <c r="H56" s="13">
        <v>6.0</v>
      </c>
    </row>
    <row r="57" ht="15.75" customHeight="1">
      <c r="B57" s="10">
        <f t="shared" si="1"/>
        <v>49</v>
      </c>
      <c r="C57" s="14" t="s">
        <v>67</v>
      </c>
      <c r="D57" s="12" t="s">
        <v>68</v>
      </c>
      <c r="E57" s="12" t="s">
        <v>69</v>
      </c>
      <c r="F57" s="12" t="s">
        <v>71</v>
      </c>
      <c r="G57" s="17" t="s">
        <v>65</v>
      </c>
      <c r="H57" s="13">
        <v>6.0</v>
      </c>
    </row>
    <row r="58" ht="15.75" customHeight="1">
      <c r="B58" s="10">
        <f t="shared" si="1"/>
        <v>50</v>
      </c>
      <c r="C58" s="14" t="s">
        <v>67</v>
      </c>
      <c r="D58" s="12" t="s">
        <v>68</v>
      </c>
      <c r="E58" s="12" t="s">
        <v>69</v>
      </c>
      <c r="F58" s="12" t="s">
        <v>72</v>
      </c>
      <c r="G58" s="17" t="s">
        <v>65</v>
      </c>
      <c r="H58" s="13">
        <v>6.0</v>
      </c>
    </row>
    <row r="59" ht="15.75" customHeight="1">
      <c r="B59" s="10">
        <f t="shared" si="1"/>
        <v>51</v>
      </c>
      <c r="C59" s="14" t="s">
        <v>67</v>
      </c>
      <c r="D59" s="12" t="s">
        <v>68</v>
      </c>
      <c r="E59" s="12" t="s">
        <v>69</v>
      </c>
      <c r="F59" s="12" t="s">
        <v>73</v>
      </c>
      <c r="G59" s="17" t="s">
        <v>65</v>
      </c>
      <c r="H59" s="13">
        <v>6.0</v>
      </c>
    </row>
    <row r="60" ht="15.75" customHeight="1">
      <c r="B60" s="10">
        <f t="shared" si="1"/>
        <v>52</v>
      </c>
      <c r="C60" s="14" t="s">
        <v>67</v>
      </c>
      <c r="D60" s="12" t="s">
        <v>68</v>
      </c>
      <c r="E60" s="12" t="s">
        <v>69</v>
      </c>
      <c r="F60" s="12" t="s">
        <v>74</v>
      </c>
      <c r="G60" s="17" t="s">
        <v>65</v>
      </c>
      <c r="H60" s="13">
        <v>6.0</v>
      </c>
    </row>
    <row r="61" ht="15.75" customHeight="1">
      <c r="B61" s="10">
        <f t="shared" si="1"/>
        <v>53</v>
      </c>
      <c r="C61" s="14" t="s">
        <v>67</v>
      </c>
      <c r="D61" s="12" t="s">
        <v>68</v>
      </c>
      <c r="E61" s="12" t="s">
        <v>69</v>
      </c>
      <c r="F61" s="12" t="s">
        <v>75</v>
      </c>
      <c r="G61" s="17" t="s">
        <v>65</v>
      </c>
      <c r="H61" s="13">
        <v>6.0</v>
      </c>
    </row>
    <row r="62" ht="15.75" customHeight="1">
      <c r="B62" s="10">
        <f t="shared" si="1"/>
        <v>54</v>
      </c>
      <c r="C62" s="14" t="s">
        <v>67</v>
      </c>
      <c r="D62" s="12" t="s">
        <v>68</v>
      </c>
      <c r="E62" s="12" t="s">
        <v>69</v>
      </c>
      <c r="F62" s="12" t="s">
        <v>76</v>
      </c>
      <c r="G62" s="17" t="s">
        <v>65</v>
      </c>
      <c r="H62" s="13">
        <v>6.0</v>
      </c>
    </row>
    <row r="63" ht="15.75" customHeight="1">
      <c r="B63" s="10">
        <f t="shared" si="1"/>
        <v>55</v>
      </c>
      <c r="C63" s="14" t="s">
        <v>67</v>
      </c>
      <c r="D63" s="12" t="s">
        <v>68</v>
      </c>
      <c r="E63" s="12" t="s">
        <v>77</v>
      </c>
      <c r="F63" s="12" t="s">
        <v>78</v>
      </c>
      <c r="G63" s="17" t="s">
        <v>65</v>
      </c>
      <c r="H63" s="13">
        <v>7.0</v>
      </c>
    </row>
    <row r="64" ht="15.75" customHeight="1">
      <c r="B64" s="10">
        <f t="shared" si="1"/>
        <v>56</v>
      </c>
      <c r="C64" s="14" t="s">
        <v>67</v>
      </c>
      <c r="D64" s="12" t="s">
        <v>68</v>
      </c>
      <c r="E64" s="12" t="s">
        <v>77</v>
      </c>
      <c r="F64" s="12" t="s">
        <v>79</v>
      </c>
      <c r="G64" s="17" t="s">
        <v>65</v>
      </c>
      <c r="H64" s="13">
        <v>7.0</v>
      </c>
    </row>
    <row r="65" ht="15.75" customHeight="1">
      <c r="B65" s="10">
        <f t="shared" si="1"/>
        <v>57</v>
      </c>
      <c r="C65" s="14" t="s">
        <v>67</v>
      </c>
      <c r="D65" s="12" t="s">
        <v>68</v>
      </c>
      <c r="E65" s="12" t="s">
        <v>77</v>
      </c>
      <c r="F65" s="12" t="s">
        <v>80</v>
      </c>
      <c r="G65" s="17" t="s">
        <v>65</v>
      </c>
      <c r="H65" s="13">
        <v>7.0</v>
      </c>
    </row>
    <row r="66" ht="15.75" customHeight="1">
      <c r="B66" s="10">
        <f t="shared" si="1"/>
        <v>58</v>
      </c>
      <c r="C66" s="14" t="s">
        <v>67</v>
      </c>
      <c r="D66" s="12" t="s">
        <v>68</v>
      </c>
      <c r="E66" s="12" t="s">
        <v>77</v>
      </c>
      <c r="F66" s="12" t="s">
        <v>81</v>
      </c>
      <c r="G66" s="17" t="s">
        <v>65</v>
      </c>
      <c r="H66" s="13">
        <v>7.0</v>
      </c>
    </row>
    <row r="67" ht="15.75" customHeight="1">
      <c r="B67" s="10">
        <f t="shared" si="1"/>
        <v>59</v>
      </c>
      <c r="C67" s="14" t="s">
        <v>67</v>
      </c>
      <c r="D67" s="12" t="s">
        <v>68</v>
      </c>
      <c r="E67" s="12" t="s">
        <v>77</v>
      </c>
      <c r="F67" s="12" t="s">
        <v>82</v>
      </c>
      <c r="G67" s="17" t="s">
        <v>65</v>
      </c>
      <c r="H67" s="13">
        <v>7.0</v>
      </c>
    </row>
    <row r="68" ht="15.75" customHeight="1">
      <c r="B68" s="10">
        <f t="shared" si="1"/>
        <v>60</v>
      </c>
      <c r="C68" s="14" t="s">
        <v>67</v>
      </c>
      <c r="D68" s="12" t="s">
        <v>68</v>
      </c>
      <c r="E68" s="12" t="s">
        <v>77</v>
      </c>
      <c r="F68" s="12" t="s">
        <v>83</v>
      </c>
      <c r="G68" s="17" t="s">
        <v>65</v>
      </c>
      <c r="H68" s="13">
        <v>7.0</v>
      </c>
    </row>
    <row r="69" ht="15.75" customHeight="1">
      <c r="B69" s="10">
        <f t="shared" si="1"/>
        <v>61</v>
      </c>
      <c r="C69" s="14" t="s">
        <v>84</v>
      </c>
      <c r="D69" s="12" t="s">
        <v>85</v>
      </c>
      <c r="E69" s="12" t="s">
        <v>86</v>
      </c>
      <c r="F69" s="12" t="s">
        <v>62</v>
      </c>
      <c r="G69" s="17" t="s">
        <v>65</v>
      </c>
      <c r="H69" s="13">
        <v>8.0</v>
      </c>
    </row>
    <row r="70" ht="15.75" customHeight="1">
      <c r="B70" s="10">
        <f t="shared" si="1"/>
        <v>62</v>
      </c>
      <c r="C70" s="14" t="s">
        <v>49</v>
      </c>
      <c r="D70" s="12" t="s">
        <v>85</v>
      </c>
      <c r="E70" s="12" t="s">
        <v>86</v>
      </c>
      <c r="F70" s="12" t="s">
        <v>87</v>
      </c>
      <c r="G70" s="17" t="s">
        <v>65</v>
      </c>
      <c r="H70" s="13">
        <v>8.0</v>
      </c>
    </row>
    <row r="71" ht="15.75" customHeight="1">
      <c r="B71" s="10">
        <f t="shared" si="1"/>
        <v>63</v>
      </c>
      <c r="C71" s="14" t="s">
        <v>49</v>
      </c>
      <c r="D71" s="12" t="s">
        <v>85</v>
      </c>
      <c r="E71" s="12" t="s">
        <v>86</v>
      </c>
      <c r="F71" s="12" t="s">
        <v>88</v>
      </c>
      <c r="G71" s="17" t="s">
        <v>65</v>
      </c>
      <c r="H71" s="13">
        <v>8.0</v>
      </c>
    </row>
    <row r="72" ht="15.75" customHeight="1">
      <c r="B72" s="10">
        <f t="shared" si="1"/>
        <v>64</v>
      </c>
      <c r="C72" s="14" t="s">
        <v>84</v>
      </c>
      <c r="D72" s="12" t="s">
        <v>85</v>
      </c>
      <c r="E72" s="12" t="s">
        <v>86</v>
      </c>
      <c r="F72" s="12" t="s">
        <v>73</v>
      </c>
      <c r="G72" s="17" t="s">
        <v>65</v>
      </c>
      <c r="H72" s="13">
        <v>8.0</v>
      </c>
    </row>
    <row r="73" ht="15.75" customHeight="1">
      <c r="B73" s="10">
        <f t="shared" si="1"/>
        <v>65</v>
      </c>
      <c r="C73" s="14" t="s">
        <v>67</v>
      </c>
      <c r="D73" s="12" t="s">
        <v>85</v>
      </c>
      <c r="E73" s="12" t="s">
        <v>86</v>
      </c>
      <c r="F73" s="12" t="s">
        <v>89</v>
      </c>
      <c r="G73" s="17" t="s">
        <v>65</v>
      </c>
      <c r="H73" s="13">
        <v>8.0</v>
      </c>
    </row>
    <row r="74" ht="15.75" customHeight="1">
      <c r="B74" s="10">
        <f t="shared" si="1"/>
        <v>66</v>
      </c>
      <c r="C74" s="14" t="s">
        <v>67</v>
      </c>
      <c r="D74" s="12" t="s">
        <v>85</v>
      </c>
      <c r="E74" s="12" t="s">
        <v>86</v>
      </c>
      <c r="F74" s="12" t="s">
        <v>90</v>
      </c>
      <c r="G74" s="17" t="s">
        <v>65</v>
      </c>
      <c r="H74" s="13">
        <v>8.0</v>
      </c>
    </row>
    <row r="75" ht="15.75" customHeight="1">
      <c r="B75" s="10">
        <f t="shared" si="1"/>
        <v>67</v>
      </c>
      <c r="C75" s="14" t="s">
        <v>67</v>
      </c>
      <c r="D75" s="12" t="s">
        <v>85</v>
      </c>
      <c r="E75" s="12" t="s">
        <v>86</v>
      </c>
      <c r="F75" s="12" t="s">
        <v>91</v>
      </c>
      <c r="G75" s="17" t="s">
        <v>65</v>
      </c>
      <c r="H75" s="13">
        <v>8.0</v>
      </c>
    </row>
    <row r="76" ht="15.75" customHeight="1">
      <c r="B76" s="10">
        <f t="shared" si="1"/>
        <v>68</v>
      </c>
      <c r="C76" s="14" t="s">
        <v>92</v>
      </c>
      <c r="D76" s="12" t="s">
        <v>93</v>
      </c>
      <c r="E76" s="12" t="s">
        <v>94</v>
      </c>
      <c r="F76" s="12" t="s">
        <v>95</v>
      </c>
      <c r="G76" s="17" t="s">
        <v>65</v>
      </c>
      <c r="H76" s="13">
        <v>9.0</v>
      </c>
    </row>
    <row r="77" ht="15.75" customHeight="1">
      <c r="B77" s="10">
        <f t="shared" si="1"/>
        <v>69</v>
      </c>
      <c r="C77" s="14" t="s">
        <v>92</v>
      </c>
      <c r="D77" s="12" t="s">
        <v>93</v>
      </c>
      <c r="E77" s="12" t="s">
        <v>94</v>
      </c>
      <c r="F77" s="12" t="s">
        <v>96</v>
      </c>
      <c r="G77" s="17" t="s">
        <v>65</v>
      </c>
      <c r="H77" s="13">
        <v>9.0</v>
      </c>
    </row>
    <row r="78" ht="15.75" customHeight="1">
      <c r="B78" s="10">
        <f t="shared" si="1"/>
        <v>70</v>
      </c>
      <c r="C78" s="14" t="s">
        <v>92</v>
      </c>
      <c r="D78" s="12" t="s">
        <v>93</v>
      </c>
      <c r="E78" s="12" t="s">
        <v>94</v>
      </c>
      <c r="F78" s="12" t="s">
        <v>97</v>
      </c>
      <c r="G78" s="17" t="s">
        <v>65</v>
      </c>
      <c r="H78" s="13">
        <v>9.0</v>
      </c>
    </row>
    <row r="79" ht="15.75" customHeight="1">
      <c r="B79" s="10">
        <f t="shared" si="1"/>
        <v>71</v>
      </c>
      <c r="C79" s="14" t="s">
        <v>92</v>
      </c>
      <c r="D79" s="12" t="s">
        <v>93</v>
      </c>
      <c r="E79" s="12" t="s">
        <v>94</v>
      </c>
      <c r="F79" s="12" t="s">
        <v>98</v>
      </c>
      <c r="G79" s="17" t="s">
        <v>65</v>
      </c>
      <c r="H79" s="13">
        <v>9.0</v>
      </c>
    </row>
    <row r="80" ht="15.75" customHeight="1">
      <c r="B80" s="10">
        <f t="shared" si="1"/>
        <v>72</v>
      </c>
      <c r="C80" s="14" t="s">
        <v>92</v>
      </c>
      <c r="D80" s="12" t="s">
        <v>93</v>
      </c>
      <c r="E80" s="12" t="s">
        <v>94</v>
      </c>
      <c r="F80" s="12" t="s">
        <v>99</v>
      </c>
      <c r="G80" s="17" t="s">
        <v>65</v>
      </c>
      <c r="H80" s="13">
        <v>9.0</v>
      </c>
    </row>
    <row r="81" ht="15.75" customHeight="1">
      <c r="B81" s="10">
        <f t="shared" si="1"/>
        <v>73</v>
      </c>
      <c r="C81" s="14" t="s">
        <v>92</v>
      </c>
      <c r="D81" s="12" t="s">
        <v>93</v>
      </c>
      <c r="E81" s="12" t="s">
        <v>100</v>
      </c>
      <c r="F81" s="12" t="s">
        <v>101</v>
      </c>
      <c r="G81" s="17" t="s">
        <v>65</v>
      </c>
      <c r="H81" s="13">
        <v>9.0</v>
      </c>
    </row>
    <row r="82" ht="15.75" customHeight="1">
      <c r="B82" s="10">
        <f t="shared" si="1"/>
        <v>74</v>
      </c>
      <c r="C82" s="14" t="s">
        <v>92</v>
      </c>
      <c r="D82" s="12" t="s">
        <v>93</v>
      </c>
      <c r="E82" s="12" t="s">
        <v>100</v>
      </c>
      <c r="F82" s="12" t="s">
        <v>102</v>
      </c>
      <c r="G82" s="17" t="s">
        <v>65</v>
      </c>
      <c r="H82" s="13">
        <v>9.0</v>
      </c>
    </row>
    <row r="83" ht="15.75" customHeight="1">
      <c r="B83" s="10">
        <f t="shared" si="1"/>
        <v>75</v>
      </c>
      <c r="C83" s="14" t="s">
        <v>92</v>
      </c>
      <c r="D83" s="12" t="s">
        <v>93</v>
      </c>
      <c r="E83" s="12" t="s">
        <v>100</v>
      </c>
      <c r="F83" s="12" t="s">
        <v>103</v>
      </c>
      <c r="G83" s="17" t="s">
        <v>65</v>
      </c>
      <c r="H83" s="13">
        <v>9.0</v>
      </c>
    </row>
    <row r="84" ht="15.75" customHeight="1">
      <c r="B84" s="10">
        <f t="shared" si="1"/>
        <v>76</v>
      </c>
      <c r="C84" s="14" t="s">
        <v>92</v>
      </c>
      <c r="D84" s="12" t="s">
        <v>93</v>
      </c>
      <c r="E84" s="12" t="s">
        <v>100</v>
      </c>
      <c r="F84" s="12" t="s">
        <v>104</v>
      </c>
      <c r="G84" s="17" t="s">
        <v>65</v>
      </c>
      <c r="H84" s="13">
        <v>9.0</v>
      </c>
    </row>
    <row r="85" ht="15.75" customHeight="1">
      <c r="B85" s="10">
        <f t="shared" si="1"/>
        <v>77</v>
      </c>
      <c r="C85" s="14" t="s">
        <v>92</v>
      </c>
      <c r="D85" s="12" t="s">
        <v>93</v>
      </c>
      <c r="E85" s="12" t="s">
        <v>100</v>
      </c>
      <c r="F85" s="12" t="s">
        <v>105</v>
      </c>
      <c r="G85" s="17" t="s">
        <v>65</v>
      </c>
      <c r="H85" s="13">
        <v>9.0</v>
      </c>
    </row>
    <row r="86" ht="15.75" customHeight="1">
      <c r="B86" s="10">
        <f t="shared" si="1"/>
        <v>78</v>
      </c>
      <c r="C86" s="14" t="s">
        <v>92</v>
      </c>
      <c r="D86" s="12" t="s">
        <v>93</v>
      </c>
      <c r="E86" s="12" t="s">
        <v>100</v>
      </c>
      <c r="F86" s="12" t="s">
        <v>106</v>
      </c>
      <c r="G86" s="17" t="s">
        <v>65</v>
      </c>
      <c r="H86" s="13">
        <v>9.0</v>
      </c>
    </row>
    <row r="87" ht="15.75" customHeight="1">
      <c r="B87" s="10">
        <f t="shared" si="1"/>
        <v>79</v>
      </c>
      <c r="C87" s="14" t="s">
        <v>92</v>
      </c>
      <c r="D87" s="12" t="s">
        <v>93</v>
      </c>
      <c r="E87" s="12" t="s">
        <v>100</v>
      </c>
      <c r="F87" s="12" t="s">
        <v>107</v>
      </c>
      <c r="G87" s="17" t="s">
        <v>65</v>
      </c>
      <c r="H87" s="13">
        <v>9.0</v>
      </c>
    </row>
    <row r="88" ht="15.75" customHeight="1">
      <c r="B88" s="10">
        <f t="shared" si="1"/>
        <v>80</v>
      </c>
      <c r="C88" s="14" t="s">
        <v>108</v>
      </c>
      <c r="D88" s="12" t="s">
        <v>109</v>
      </c>
      <c r="E88" s="12" t="s">
        <v>110</v>
      </c>
      <c r="F88" s="12" t="s">
        <v>111</v>
      </c>
      <c r="G88" s="17" t="s">
        <v>112</v>
      </c>
      <c r="H88" s="13">
        <v>10.0</v>
      </c>
    </row>
    <row r="89" ht="15.75" customHeight="1">
      <c r="B89" s="10">
        <f t="shared" si="1"/>
        <v>81</v>
      </c>
      <c r="C89" s="14" t="s">
        <v>108</v>
      </c>
      <c r="D89" s="12" t="s">
        <v>109</v>
      </c>
      <c r="E89" s="12" t="s">
        <v>110</v>
      </c>
      <c r="F89" s="12" t="s">
        <v>113</v>
      </c>
      <c r="G89" s="17" t="s">
        <v>112</v>
      </c>
      <c r="H89" s="13">
        <v>10.0</v>
      </c>
    </row>
    <row r="90" ht="15.75" customHeight="1">
      <c r="B90" s="10">
        <f t="shared" si="1"/>
        <v>82</v>
      </c>
      <c r="C90" s="14" t="s">
        <v>108</v>
      </c>
      <c r="D90" s="12" t="s">
        <v>109</v>
      </c>
      <c r="E90" s="12" t="s">
        <v>110</v>
      </c>
      <c r="F90" s="12" t="s">
        <v>114</v>
      </c>
      <c r="G90" s="17" t="s">
        <v>112</v>
      </c>
      <c r="H90" s="13">
        <v>10.0</v>
      </c>
    </row>
    <row r="91" ht="15.75" customHeight="1">
      <c r="B91" s="10">
        <f t="shared" si="1"/>
        <v>83</v>
      </c>
      <c r="C91" s="14" t="s">
        <v>108</v>
      </c>
      <c r="D91" s="12" t="s">
        <v>109</v>
      </c>
      <c r="E91" s="12" t="s">
        <v>110</v>
      </c>
      <c r="F91" s="12" t="s">
        <v>115</v>
      </c>
      <c r="G91" s="17" t="s">
        <v>112</v>
      </c>
      <c r="H91" s="13">
        <v>10.0</v>
      </c>
    </row>
    <row r="92" ht="15.75" customHeight="1">
      <c r="B92" s="10">
        <f t="shared" si="1"/>
        <v>84</v>
      </c>
      <c r="C92" s="14" t="s">
        <v>108</v>
      </c>
      <c r="D92" s="12" t="s">
        <v>109</v>
      </c>
      <c r="E92" s="12" t="s">
        <v>110</v>
      </c>
      <c r="F92" s="12" t="s">
        <v>116</v>
      </c>
      <c r="G92" s="17" t="s">
        <v>112</v>
      </c>
      <c r="H92" s="13">
        <v>10.0</v>
      </c>
    </row>
    <row r="93" ht="15.75" customHeight="1">
      <c r="B93" s="10">
        <f t="shared" si="1"/>
        <v>85</v>
      </c>
      <c r="C93" s="14" t="s">
        <v>108</v>
      </c>
      <c r="D93" s="12" t="s">
        <v>109</v>
      </c>
      <c r="E93" s="12" t="s">
        <v>23</v>
      </c>
      <c r="F93" s="12" t="s">
        <v>117</v>
      </c>
      <c r="G93" s="17" t="s">
        <v>112</v>
      </c>
      <c r="H93" s="13">
        <v>10.0</v>
      </c>
    </row>
    <row r="94" ht="15.75" customHeight="1">
      <c r="B94" s="10">
        <f t="shared" si="1"/>
        <v>86</v>
      </c>
      <c r="C94" s="14" t="s">
        <v>108</v>
      </c>
      <c r="D94" s="12" t="s">
        <v>109</v>
      </c>
      <c r="E94" s="12" t="s">
        <v>23</v>
      </c>
      <c r="F94" s="12" t="s">
        <v>118</v>
      </c>
      <c r="G94" s="17" t="s">
        <v>112</v>
      </c>
      <c r="H94" s="13">
        <v>10.0</v>
      </c>
    </row>
    <row r="95" ht="15.75" customHeight="1">
      <c r="B95" s="10">
        <f t="shared" si="1"/>
        <v>87</v>
      </c>
      <c r="C95" s="14" t="s">
        <v>108</v>
      </c>
      <c r="D95" s="12" t="s">
        <v>109</v>
      </c>
      <c r="E95" s="12" t="s">
        <v>23</v>
      </c>
      <c r="F95" s="12" t="s">
        <v>119</v>
      </c>
      <c r="G95" s="17" t="s">
        <v>112</v>
      </c>
      <c r="H95" s="13">
        <v>10.0</v>
      </c>
    </row>
    <row r="96" ht="15.75" customHeight="1">
      <c r="B96" s="10">
        <f t="shared" si="1"/>
        <v>88</v>
      </c>
      <c r="C96" s="14" t="s">
        <v>108</v>
      </c>
      <c r="D96" s="12" t="s">
        <v>109</v>
      </c>
      <c r="E96" s="12" t="s">
        <v>23</v>
      </c>
      <c r="F96" s="12" t="s">
        <v>120</v>
      </c>
      <c r="G96" s="17" t="s">
        <v>112</v>
      </c>
      <c r="H96" s="13">
        <v>10.0</v>
      </c>
    </row>
    <row r="97" ht="15.75" customHeight="1">
      <c r="B97" s="10">
        <f t="shared" si="1"/>
        <v>89</v>
      </c>
      <c r="C97" s="14" t="s">
        <v>108</v>
      </c>
      <c r="D97" s="12" t="s">
        <v>109</v>
      </c>
      <c r="E97" s="12" t="s">
        <v>23</v>
      </c>
      <c r="F97" s="12" t="s">
        <v>121</v>
      </c>
      <c r="G97" s="17" t="s">
        <v>112</v>
      </c>
      <c r="H97" s="13">
        <v>10.0</v>
      </c>
    </row>
    <row r="98" ht="15.75" customHeight="1">
      <c r="B98" s="10">
        <f t="shared" si="1"/>
        <v>90</v>
      </c>
      <c r="C98" s="14" t="s">
        <v>92</v>
      </c>
      <c r="D98" s="12" t="s">
        <v>122</v>
      </c>
      <c r="E98" s="12" t="s">
        <v>122</v>
      </c>
      <c r="F98" s="12" t="s">
        <v>100</v>
      </c>
      <c r="G98" s="17" t="s">
        <v>112</v>
      </c>
      <c r="H98" s="13">
        <v>11.0</v>
      </c>
    </row>
    <row r="99" ht="15.75" customHeight="1">
      <c r="B99" s="10">
        <f t="shared" si="1"/>
        <v>91</v>
      </c>
      <c r="C99" s="14" t="s">
        <v>92</v>
      </c>
      <c r="D99" s="12" t="s">
        <v>122</v>
      </c>
      <c r="E99" s="12" t="s">
        <v>122</v>
      </c>
      <c r="F99" s="12" t="s">
        <v>123</v>
      </c>
      <c r="G99" s="17" t="s">
        <v>112</v>
      </c>
      <c r="H99" s="13">
        <v>11.0</v>
      </c>
    </row>
    <row r="100" ht="15.75" customHeight="1">
      <c r="B100" s="10">
        <f t="shared" si="1"/>
        <v>92</v>
      </c>
      <c r="C100" s="14" t="s">
        <v>92</v>
      </c>
      <c r="D100" s="12" t="s">
        <v>122</v>
      </c>
      <c r="E100" s="12" t="s">
        <v>122</v>
      </c>
      <c r="F100" s="12" t="s">
        <v>101</v>
      </c>
      <c r="G100" s="17" t="s">
        <v>112</v>
      </c>
      <c r="H100" s="13">
        <v>11.0</v>
      </c>
    </row>
    <row r="101" ht="15.75" customHeight="1">
      <c r="B101" s="10">
        <f t="shared" si="1"/>
        <v>93</v>
      </c>
      <c r="C101" s="14" t="s">
        <v>108</v>
      </c>
      <c r="D101" s="12" t="s">
        <v>122</v>
      </c>
      <c r="E101" s="12" t="s">
        <v>122</v>
      </c>
      <c r="F101" s="12" t="s">
        <v>124</v>
      </c>
      <c r="G101" s="17" t="s">
        <v>112</v>
      </c>
      <c r="H101" s="13">
        <v>11.0</v>
      </c>
    </row>
    <row r="102" ht="15.75" customHeight="1">
      <c r="B102" s="10">
        <f t="shared" si="1"/>
        <v>94</v>
      </c>
      <c r="C102" s="14" t="s">
        <v>108</v>
      </c>
      <c r="D102" s="12" t="s">
        <v>122</v>
      </c>
      <c r="E102" s="12" t="s">
        <v>122</v>
      </c>
      <c r="F102" s="12" t="s">
        <v>125</v>
      </c>
      <c r="G102" s="17" t="s">
        <v>112</v>
      </c>
      <c r="H102" s="13">
        <v>11.0</v>
      </c>
    </row>
    <row r="103" ht="15.75" customHeight="1">
      <c r="C103" s="18"/>
      <c r="D103" s="12"/>
      <c r="E103" s="12"/>
      <c r="F103" s="12"/>
    </row>
    <row r="104" ht="15.75" customHeight="1">
      <c r="C104" s="18"/>
      <c r="D104" s="12"/>
      <c r="E104" s="12"/>
      <c r="F104" s="12"/>
    </row>
    <row r="105" ht="15.75" customHeight="1">
      <c r="C105" s="18"/>
    </row>
    <row r="106" ht="15.75" customHeight="1">
      <c r="C106" s="18"/>
    </row>
    <row r="107" ht="15.75" customHeight="1">
      <c r="C107" s="18"/>
    </row>
    <row r="108" ht="15.75" customHeight="1">
      <c r="C108" s="18"/>
    </row>
    <row r="109" ht="15.75" customHeight="1">
      <c r="C109" s="18"/>
    </row>
    <row r="110" ht="15.75" customHeight="1">
      <c r="C110" s="18"/>
    </row>
    <row r="111" ht="15.75" customHeight="1">
      <c r="C111" s="18"/>
    </row>
    <row r="112" ht="15.75" customHeight="1">
      <c r="C112" s="18"/>
    </row>
    <row r="113" ht="15.75" customHeight="1">
      <c r="C113" s="18"/>
    </row>
    <row r="114" ht="15.75" customHeight="1">
      <c r="C114" s="18"/>
    </row>
    <row r="115" ht="15.75" customHeight="1">
      <c r="C115" s="18"/>
    </row>
    <row r="116" ht="15.75" customHeight="1">
      <c r="C116" s="18"/>
    </row>
    <row r="117" ht="15.75" customHeight="1">
      <c r="C117" s="18"/>
    </row>
    <row r="118" ht="15.75" customHeight="1">
      <c r="C118" s="18"/>
    </row>
    <row r="119" ht="15.75" customHeight="1">
      <c r="C119" s="18"/>
    </row>
    <row r="120" ht="15.75" customHeight="1">
      <c r="C120" s="18"/>
    </row>
    <row r="121" ht="15.75" customHeight="1">
      <c r="C121" s="18"/>
    </row>
    <row r="122" ht="15.75" customHeight="1">
      <c r="C122" s="18"/>
    </row>
    <row r="123" ht="15.75" customHeight="1">
      <c r="C123" s="18"/>
    </row>
    <row r="124" ht="15.75" customHeight="1">
      <c r="C124" s="18"/>
    </row>
    <row r="125" ht="15.75" customHeight="1">
      <c r="C125" s="18"/>
    </row>
    <row r="126" ht="15.75" customHeight="1">
      <c r="C126" s="18"/>
    </row>
    <row r="127" ht="15.75" customHeight="1">
      <c r="C127" s="18"/>
    </row>
    <row r="128" ht="15.75" customHeight="1">
      <c r="C128" s="18"/>
    </row>
    <row r="129" ht="15.75" customHeight="1">
      <c r="C129" s="18"/>
    </row>
    <row r="130" ht="15.75" customHeight="1">
      <c r="C130" s="18"/>
    </row>
    <row r="131" ht="15.75" customHeight="1">
      <c r="C131" s="18"/>
    </row>
    <row r="132" ht="15.75" customHeight="1">
      <c r="C132" s="18"/>
    </row>
    <row r="133" ht="15.75" customHeight="1">
      <c r="C133" s="18"/>
    </row>
    <row r="134" ht="15.75" customHeight="1">
      <c r="C134" s="18"/>
    </row>
    <row r="135" ht="15.75" customHeight="1">
      <c r="C135" s="18"/>
    </row>
    <row r="136" ht="15.75" customHeight="1">
      <c r="C136" s="18"/>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9" t="s">
        <v>1</v>
      </c>
      <c r="C4" s="20" t="str">
        <f>'Diseño'!C4</f>
        <v>795 - Logica de Sitemas</v>
      </c>
      <c r="D4" s="21"/>
      <c r="E4" s="21"/>
      <c r="F4" s="21"/>
      <c r="G4" s="22"/>
    </row>
    <row r="5" ht="15.75" customHeight="1">
      <c r="B5" s="23" t="s">
        <v>11</v>
      </c>
      <c r="C5" s="20">
        <v>1.0</v>
      </c>
      <c r="D5" s="21"/>
      <c r="E5" s="21"/>
      <c r="F5" s="21"/>
      <c r="G5" s="22"/>
    </row>
    <row r="6" ht="15.75" customHeight="1">
      <c r="B6" s="23" t="s">
        <v>126</v>
      </c>
      <c r="C6" s="20">
        <f>+H9+H18+H25+H32+H39+H44</f>
        <v>100</v>
      </c>
      <c r="D6" s="21"/>
      <c r="E6" s="21"/>
      <c r="F6" s="21"/>
      <c r="G6" s="22"/>
    </row>
    <row r="7" ht="15.75" customHeight="1"/>
    <row r="8" ht="15.75" customHeight="1">
      <c r="K8" s="24" t="s">
        <v>127</v>
      </c>
    </row>
    <row r="9" ht="15.75" customHeight="1">
      <c r="A9" s="25" t="s">
        <v>128</v>
      </c>
      <c r="G9" s="26" t="s">
        <v>129</v>
      </c>
      <c r="H9" s="27">
        <v>15.0</v>
      </c>
    </row>
    <row r="10" ht="15.75" customHeight="1">
      <c r="G10" s="28" t="s">
        <v>130</v>
      </c>
    </row>
    <row r="11" ht="24.75" customHeight="1">
      <c r="A11" s="29" t="s">
        <v>131</v>
      </c>
      <c r="B11" s="17" t="s">
        <v>132</v>
      </c>
      <c r="C11" s="30"/>
      <c r="D11" s="30"/>
      <c r="E11" s="30"/>
      <c r="F11" s="30"/>
      <c r="G11" s="30"/>
      <c r="H11" s="31"/>
    </row>
    <row r="12" ht="15.75" customHeight="1">
      <c r="A12" s="29" t="s">
        <v>133</v>
      </c>
      <c r="B12" s="32" t="s">
        <v>134</v>
      </c>
      <c r="C12" s="21"/>
      <c r="D12" s="21"/>
      <c r="E12" s="21"/>
      <c r="F12" s="21"/>
      <c r="G12" s="21"/>
      <c r="H12" s="22"/>
    </row>
    <row r="13" ht="15.75" customHeight="1">
      <c r="A13" s="33" t="s">
        <v>135</v>
      </c>
      <c r="B13" s="34" t="s">
        <v>136</v>
      </c>
      <c r="C13" s="21"/>
      <c r="D13" s="21"/>
      <c r="E13" s="21"/>
      <c r="F13" s="21"/>
      <c r="G13" s="21"/>
      <c r="H13" s="22"/>
    </row>
    <row r="14" ht="15.75" customHeight="1">
      <c r="A14" s="33" t="s">
        <v>137</v>
      </c>
      <c r="B14" s="34" t="s">
        <v>138</v>
      </c>
      <c r="C14" s="21"/>
      <c r="D14" s="21"/>
      <c r="E14" s="21"/>
      <c r="F14" s="21"/>
      <c r="G14" s="21"/>
      <c r="H14" s="22"/>
    </row>
    <row r="15" ht="15.75" customHeight="1">
      <c r="A15" s="35" t="s">
        <v>139</v>
      </c>
      <c r="B15" s="34" t="s">
        <v>140</v>
      </c>
      <c r="C15" s="21"/>
      <c r="D15" s="21"/>
      <c r="E15" s="21"/>
      <c r="F15" s="21"/>
      <c r="G15" s="21"/>
      <c r="H15" s="22"/>
    </row>
    <row r="16" ht="15.75" customHeight="1"/>
    <row r="17" ht="15.75" customHeight="1"/>
    <row r="18" ht="15.75" customHeight="1">
      <c r="A18" s="36" t="s">
        <v>141</v>
      </c>
      <c r="G18" s="26" t="s">
        <v>129</v>
      </c>
      <c r="H18" s="27">
        <v>20.0</v>
      </c>
    </row>
    <row r="19" ht="15.75" customHeight="1">
      <c r="G19" s="28" t="s">
        <v>142</v>
      </c>
      <c r="K19" s="24" t="s">
        <v>143</v>
      </c>
    </row>
    <row r="20" ht="15.75" customHeight="1">
      <c r="A20" s="29" t="s">
        <v>144</v>
      </c>
      <c r="B20" s="32" t="s">
        <v>145</v>
      </c>
      <c r="C20" s="21"/>
      <c r="D20" s="21"/>
      <c r="E20" s="21"/>
      <c r="F20" s="21"/>
      <c r="G20" s="21"/>
      <c r="H20" s="22"/>
    </row>
    <row r="21" ht="15.75" customHeight="1">
      <c r="A21" s="29" t="s">
        <v>146</v>
      </c>
      <c r="B21" s="17" t="s">
        <v>147</v>
      </c>
      <c r="C21" s="37"/>
      <c r="D21" s="37"/>
      <c r="E21" s="37"/>
      <c r="F21" s="37"/>
      <c r="G21" s="37"/>
      <c r="H21" s="38"/>
    </row>
    <row r="22" ht="15.75" customHeight="1">
      <c r="A22" s="35" t="s">
        <v>139</v>
      </c>
      <c r="B22" s="34" t="s">
        <v>148</v>
      </c>
      <c r="C22" s="21"/>
      <c r="D22" s="21"/>
      <c r="E22" s="21"/>
      <c r="F22" s="21"/>
      <c r="G22" s="21"/>
      <c r="H22" s="22"/>
    </row>
    <row r="23" ht="15.75" customHeight="1"/>
    <row r="24" ht="15.75" customHeight="1"/>
    <row r="25" ht="15.75" customHeight="1">
      <c r="A25" s="36" t="s">
        <v>149</v>
      </c>
      <c r="G25" s="39" t="s">
        <v>129</v>
      </c>
      <c r="H25" s="27">
        <v>25.0</v>
      </c>
    </row>
    <row r="26" ht="15.75" customHeight="1">
      <c r="G26" s="28" t="s">
        <v>150</v>
      </c>
      <c r="H26" s="28"/>
      <c r="I26" s="28"/>
      <c r="J26" s="28"/>
    </row>
    <row r="27" ht="39.75" customHeight="1">
      <c r="A27" s="29" t="s">
        <v>151</v>
      </c>
      <c r="B27" s="17" t="s">
        <v>152</v>
      </c>
      <c r="C27" s="30"/>
      <c r="D27" s="30"/>
      <c r="E27" s="30"/>
      <c r="F27" s="30"/>
      <c r="G27" s="30"/>
      <c r="H27" s="31"/>
      <c r="K27" s="24" t="s">
        <v>153</v>
      </c>
    </row>
    <row r="28" ht="117.0" customHeight="1">
      <c r="A28" s="29" t="s">
        <v>154</v>
      </c>
      <c r="B28" s="32" t="s">
        <v>155</v>
      </c>
      <c r="C28" s="21"/>
      <c r="D28" s="21"/>
      <c r="E28" s="21"/>
      <c r="F28" s="21"/>
      <c r="G28" s="21"/>
      <c r="H28" s="22"/>
    </row>
    <row r="29" ht="15.75" customHeight="1">
      <c r="A29" s="35" t="s">
        <v>139</v>
      </c>
      <c r="B29" s="34" t="s">
        <v>156</v>
      </c>
      <c r="C29" s="21"/>
      <c r="D29" s="21"/>
      <c r="E29" s="21"/>
      <c r="F29" s="21"/>
      <c r="G29" s="21"/>
      <c r="H29" s="22"/>
    </row>
    <row r="30" ht="15.75" customHeight="1"/>
    <row r="31" ht="15.75" customHeight="1"/>
    <row r="32" ht="15.75" customHeight="1">
      <c r="A32" s="36" t="s">
        <v>157</v>
      </c>
      <c r="G32" s="39" t="s">
        <v>129</v>
      </c>
      <c r="H32" s="27">
        <v>0.0</v>
      </c>
    </row>
    <row r="33" ht="15.75" customHeight="1">
      <c r="A33" s="6" t="s">
        <v>158</v>
      </c>
      <c r="G33" s="6" t="s">
        <v>159</v>
      </c>
    </row>
    <row r="34" ht="15.75" customHeight="1">
      <c r="A34" s="29" t="s">
        <v>160</v>
      </c>
      <c r="B34" s="40"/>
      <c r="C34" s="21"/>
      <c r="D34" s="21"/>
      <c r="E34" s="21"/>
      <c r="F34" s="21"/>
      <c r="G34" s="21"/>
      <c r="H34" s="22"/>
      <c r="K34" s="24" t="s">
        <v>161</v>
      </c>
    </row>
    <row r="35" ht="15.75" customHeight="1">
      <c r="A35" s="29" t="s">
        <v>162</v>
      </c>
      <c r="B35" s="40"/>
      <c r="C35" s="21"/>
      <c r="D35" s="21"/>
      <c r="E35" s="21"/>
      <c r="F35" s="21"/>
      <c r="G35" s="21"/>
      <c r="H35" s="22"/>
    </row>
    <row r="36" ht="15.75" customHeight="1">
      <c r="A36" s="35" t="s">
        <v>139</v>
      </c>
      <c r="B36" s="20"/>
      <c r="C36" s="21"/>
      <c r="D36" s="21"/>
      <c r="E36" s="21"/>
      <c r="F36" s="21"/>
      <c r="G36" s="21"/>
      <c r="H36" s="22"/>
    </row>
    <row r="37" ht="15.75" customHeight="1"/>
    <row r="38" ht="15.75" customHeight="1"/>
    <row r="39" ht="15.75" customHeight="1">
      <c r="A39" s="36" t="s">
        <v>163</v>
      </c>
      <c r="G39" s="39" t="s">
        <v>129</v>
      </c>
      <c r="H39" s="27">
        <v>20.0</v>
      </c>
    </row>
    <row r="40" ht="15.75" customHeight="1">
      <c r="G40" s="28" t="s">
        <v>164</v>
      </c>
    </row>
    <row r="41" ht="15.75" customHeight="1">
      <c r="A41" s="35" t="s">
        <v>139</v>
      </c>
      <c r="B41" s="34" t="s">
        <v>165</v>
      </c>
      <c r="C41" s="21"/>
      <c r="D41" s="21"/>
      <c r="E41" s="21"/>
      <c r="F41" s="21"/>
      <c r="G41" s="21"/>
      <c r="H41" s="22"/>
    </row>
    <row r="42" ht="15.75" customHeight="1"/>
    <row r="43" ht="15.75" customHeight="1"/>
    <row r="44" ht="15.75" customHeight="1">
      <c r="A44" s="36" t="s">
        <v>166</v>
      </c>
      <c r="G44" s="39" t="s">
        <v>129</v>
      </c>
      <c r="H44" s="27">
        <v>20.0</v>
      </c>
    </row>
    <row r="45" ht="15.75" customHeight="1">
      <c r="G45" s="28" t="s">
        <v>130</v>
      </c>
    </row>
    <row r="46" ht="15.75" customHeight="1">
      <c r="A46" s="29" t="s">
        <v>167</v>
      </c>
      <c r="B46" s="32" t="s">
        <v>168</v>
      </c>
      <c r="C46" s="21"/>
      <c r="D46" s="21"/>
      <c r="E46" s="21"/>
      <c r="F46" s="21"/>
      <c r="G46" s="21"/>
      <c r="H46" s="22"/>
    </row>
    <row r="47" ht="15.75" customHeight="1">
      <c r="A47" s="35" t="s">
        <v>139</v>
      </c>
      <c r="B47" s="34" t="s">
        <v>169</v>
      </c>
      <c r="C47" s="21"/>
      <c r="D47" s="21"/>
      <c r="E47" s="21"/>
      <c r="F47" s="21"/>
      <c r="G47" s="21"/>
      <c r="H47" s="2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12:H12"/>
    <mergeCell ref="B13:H13"/>
    <mergeCell ref="B14:H14"/>
    <mergeCell ref="B15:H15"/>
    <mergeCell ref="A1:A6"/>
    <mergeCell ref="C4:G4"/>
    <mergeCell ref="C5:G5"/>
    <mergeCell ref="C6:G6"/>
    <mergeCell ref="K8:N17"/>
    <mergeCell ref="A9:F9"/>
    <mergeCell ref="G10:I10"/>
    <mergeCell ref="B28:H28"/>
    <mergeCell ref="B29:H29"/>
    <mergeCell ref="A18:F18"/>
    <mergeCell ref="G19:I19"/>
    <mergeCell ref="K19:N25"/>
    <mergeCell ref="B20:H20"/>
    <mergeCell ref="B22:H22"/>
    <mergeCell ref="A25:F25"/>
    <mergeCell ref="K27:N31"/>
    <mergeCell ref="A39:F39"/>
    <mergeCell ref="G40:I40"/>
    <mergeCell ref="B41:H41"/>
    <mergeCell ref="A44:F44"/>
    <mergeCell ref="G45:I45"/>
    <mergeCell ref="B46:H46"/>
    <mergeCell ref="B47:H47"/>
    <mergeCell ref="A32:F32"/>
    <mergeCell ref="A33:F33"/>
    <mergeCell ref="G33:M33"/>
    <mergeCell ref="B34:H34"/>
    <mergeCell ref="K34:N42"/>
    <mergeCell ref="B35:H35"/>
    <mergeCell ref="B36:H3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4.75"/>
    <col customWidth="1" min="3" max="3" width="26.38"/>
    <col customWidth="1" min="8" max="8" width="32.38"/>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2.0</v>
      </c>
      <c r="D5" s="21"/>
      <c r="E5" s="21"/>
      <c r="F5" s="21"/>
      <c r="G5" s="22"/>
    </row>
    <row r="6" ht="15.75" customHeight="1">
      <c r="B6" s="43" t="s">
        <v>126</v>
      </c>
      <c r="C6" s="34">
        <f>H10+H21+H49+H73</f>
        <v>100</v>
      </c>
      <c r="D6" s="21"/>
      <c r="E6" s="21"/>
      <c r="F6" s="21"/>
      <c r="G6" s="22"/>
      <c r="I6" s="5"/>
    </row>
    <row r="7" ht="15.75" customHeight="1">
      <c r="B7" s="43" t="s">
        <v>171</v>
      </c>
      <c r="C7" s="20">
        <f>B54+B65</f>
        <v>0</v>
      </c>
      <c r="D7" s="21"/>
      <c r="E7" s="21"/>
      <c r="F7" s="21"/>
      <c r="G7" s="22"/>
    </row>
    <row r="8" ht="30.75" customHeight="1">
      <c r="B8" s="43" t="s">
        <v>172</v>
      </c>
      <c r="C8" s="44" t="str">
        <f>IF(H49&lt;=0, "❌ ERROR: La Actividad 1 debe tener un tiempo mayor a 0.", IF(H21&gt;60, "❌ ERROR: El 'Área de Conocimiento' no puede exceder los 60 min.", IF((H10+H21+H49+H73)&lt;100,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46">
        <f>B13</f>
        <v>5</v>
      </c>
    </row>
    <row r="11" ht="15.75" customHeight="1">
      <c r="G11" s="28" t="s">
        <v>174</v>
      </c>
    </row>
    <row r="12" ht="15.75" customHeight="1">
      <c r="A12" s="33" t="s">
        <v>175</v>
      </c>
      <c r="B12" s="34" t="s">
        <v>176</v>
      </c>
      <c r="C12" s="21"/>
      <c r="D12" s="21"/>
      <c r="E12" s="21"/>
      <c r="F12" s="21"/>
      <c r="G12" s="21"/>
      <c r="H12" s="22"/>
    </row>
    <row r="13" ht="15.75" customHeight="1">
      <c r="A13" s="35" t="s">
        <v>129</v>
      </c>
      <c r="B13" s="34">
        <v>5.0</v>
      </c>
      <c r="C13" s="21"/>
      <c r="D13" s="21"/>
      <c r="E13" s="21"/>
      <c r="F13" s="21"/>
      <c r="G13" s="21"/>
      <c r="H13" s="22"/>
    </row>
    <row r="14" ht="15.75" customHeight="1">
      <c r="A14" s="47" t="s">
        <v>177</v>
      </c>
      <c r="B14" s="21"/>
      <c r="C14" s="21"/>
      <c r="D14" s="21"/>
      <c r="E14" s="21"/>
      <c r="F14" s="21"/>
      <c r="G14" s="21"/>
      <c r="H14" s="22"/>
    </row>
    <row r="15" ht="15.75" customHeight="1">
      <c r="A15" s="48" t="s">
        <v>178</v>
      </c>
      <c r="B15" s="49"/>
      <c r="C15" s="49"/>
      <c r="D15" s="49"/>
      <c r="E15" s="49"/>
      <c r="F15" s="49"/>
      <c r="G15" s="49"/>
      <c r="H15" s="50"/>
    </row>
    <row r="16" ht="15.75"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180</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181</v>
      </c>
      <c r="G21" s="39" t="s">
        <v>129</v>
      </c>
      <c r="H21" s="55">
        <f>SUM(D44:H47)</f>
        <v>60</v>
      </c>
      <c r="I21" s="5"/>
    </row>
    <row r="22" ht="15.75" customHeight="1">
      <c r="G22" s="28" t="s">
        <v>182</v>
      </c>
    </row>
    <row r="23" ht="15.75" customHeight="1">
      <c r="A23" s="33" t="s">
        <v>183</v>
      </c>
      <c r="B23" s="34" t="s">
        <v>12</v>
      </c>
      <c r="C23" s="21"/>
      <c r="D23" s="21"/>
      <c r="E23" s="21"/>
      <c r="F23" s="21"/>
      <c r="G23" s="21"/>
      <c r="H23" s="22"/>
    </row>
    <row r="24" ht="15.75" customHeight="1">
      <c r="A24" s="33" t="s">
        <v>183</v>
      </c>
      <c r="B24" s="20"/>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IFERROR(__xludf.DUMMYFUNCTION("FILTER('Diseño'!D:D,'Diseño'!H:H=$C$5)"),"Unidad 1: La creatividad y bloqueos mentales")</f>
        <v>Unidad 1: La creatividad y bloqueos mentales</v>
      </c>
      <c r="C28" s="22"/>
      <c r="D28" s="20" t="str">
        <f>IFERROR(__xludf.DUMMYFUNCTION("FILTER('Diseño'!E:E,'Diseño'!H:H=$C$5)"),"La creatividad")</f>
        <v>La creatividad</v>
      </c>
      <c r="E28" s="22"/>
      <c r="F28" s="20" t="str">
        <f>IFERROR(__xludf.DUMMYFUNCTION("FILTER('Diseño'!F:F,'Diseño'!H:H=$C$5)"),"¿Qué es la creatividad?")</f>
        <v>¿Qué es la creatividad?</v>
      </c>
      <c r="G28" s="21"/>
      <c r="H28" s="22"/>
    </row>
    <row r="29" ht="15.75" customHeight="1">
      <c r="A29" s="23">
        <v>2.0</v>
      </c>
      <c r="B29" s="20" t="str">
        <f>IFERROR(__xludf.DUMMYFUNCTION("""COMPUTED_VALUE"""),"Unidad 1: La creatividad y bloqueos mentales")</f>
        <v>Unidad 1: La creatividad y bloqueos mentales</v>
      </c>
      <c r="C29" s="22"/>
      <c r="D29" s="20" t="str">
        <f>IFERROR(__xludf.DUMMYFUNCTION("""COMPUTED_VALUE"""),"La creatividad")</f>
        <v>La creatividad</v>
      </c>
      <c r="E29" s="22"/>
      <c r="F29" s="20" t="str">
        <f>IFERROR(__xludf.DUMMYFUNCTION("""COMPUTED_VALUE"""),"Pasos en la resolución de problemas")</f>
        <v>Pasos en la resolución de problemas</v>
      </c>
      <c r="G29" s="21"/>
      <c r="H29" s="22"/>
    </row>
    <row r="30" ht="15.75" customHeight="1">
      <c r="A30" s="23">
        <v>3.0</v>
      </c>
      <c r="B30" s="20" t="str">
        <f>IFERROR(__xludf.DUMMYFUNCTION("""COMPUTED_VALUE"""),"Unidad 1: La creatividad y bloqueos mentales")</f>
        <v>Unidad 1: La creatividad y bloqueos mentales</v>
      </c>
      <c r="C30" s="22"/>
      <c r="D30" s="20" t="str">
        <f>IFERROR(__xludf.DUMMYFUNCTION("""COMPUTED_VALUE"""),"La creatividad")</f>
        <v>La creatividad</v>
      </c>
      <c r="E30" s="22"/>
      <c r="F30" s="20" t="str">
        <f>IFERROR(__xludf.DUMMYFUNCTION("""COMPUTED_VALUE"""),"Bloqueos mentales")</f>
        <v>Bloqueos mentales</v>
      </c>
      <c r="G30" s="21"/>
      <c r="H30" s="22"/>
    </row>
    <row r="31" ht="15.75" customHeight="1">
      <c r="A31" s="23">
        <v>4.0</v>
      </c>
      <c r="B31" s="20" t="str">
        <f>IFERROR(__xludf.DUMMYFUNCTION("""COMPUTED_VALUE"""),"Unidad 1: La creatividad y bloqueos mentales")</f>
        <v>Unidad 1: La creatividad y bloqueos mentales</v>
      </c>
      <c r="C31" s="22"/>
      <c r="D31" s="20" t="str">
        <f>IFERROR(__xludf.DUMMYFUNCTION("""COMPUTED_VALUE"""),"La creatividad")</f>
        <v>La creatividad</v>
      </c>
      <c r="E31" s="22"/>
      <c r="F31" s="20" t="str">
        <f>IFERROR(__xludf.DUMMYFUNCTION("""COMPUTED_VALUE"""),"Práctica de la creatividad")</f>
        <v>Práctica de la creatividad</v>
      </c>
      <c r="G31" s="21"/>
      <c r="H31" s="22"/>
    </row>
    <row r="32" ht="15.75" customHeight="1">
      <c r="A32" s="23">
        <v>5.0</v>
      </c>
      <c r="B32" s="20" t="str">
        <f>IFERROR(__xludf.DUMMYFUNCTION("""COMPUTED_VALUE"""),"Unidad 1: La creatividad y bloqueos mentales")</f>
        <v>Unidad 1: La creatividad y bloqueos mentales</v>
      </c>
      <c r="C32" s="22"/>
      <c r="D32" s="20" t="str">
        <f>IFERROR(__xludf.DUMMYFUNCTION("""COMPUTED_VALUE"""),"La creatividad")</f>
        <v>La creatividad</v>
      </c>
      <c r="E32" s="22"/>
      <c r="F32" s="20" t="str">
        <f>IFERROR(__xludf.DUMMYFUNCTION("""COMPUTED_VALUE"""),"Técnicas para producir ideas")</f>
        <v>Técnicas para producir ideas</v>
      </c>
      <c r="G32" s="21"/>
      <c r="H32" s="22"/>
    </row>
    <row r="33" ht="15.75" customHeight="1">
      <c r="A33" s="23">
        <v>6.0</v>
      </c>
      <c r="B33" s="20" t="str">
        <f>IFERROR(__xludf.DUMMYFUNCTION("""COMPUTED_VALUE"""),"Unidad 1: La creatividad y bloqueos mentales")</f>
        <v>Unidad 1: La creatividad y bloqueos mentales</v>
      </c>
      <c r="C33" s="22"/>
      <c r="D33" s="20" t="str">
        <f>IFERROR(__xludf.DUMMYFUNCTION("""COMPUTED_VALUE"""),"La creatividad")</f>
        <v>La creatividad</v>
      </c>
      <c r="E33" s="22"/>
      <c r="F33" s="20" t="str">
        <f>IFERROR(__xludf.DUMMYFUNCTION("""COMPUTED_VALUE"""),"Como hacer mas eficiente la mente")</f>
        <v>Como hacer mas eficiente la mente</v>
      </c>
      <c r="G33" s="21"/>
      <c r="H33" s="22"/>
    </row>
    <row r="34" ht="15.75" customHeight="1">
      <c r="A34" s="23">
        <v>7.0</v>
      </c>
      <c r="B34" s="20" t="str">
        <f>IFERROR(__xludf.DUMMYFUNCTION("""COMPUTED_VALUE"""),"Unidad 1: La creatividad y bloqueos mentales")</f>
        <v>Unidad 1: La creatividad y bloqueos mentales</v>
      </c>
      <c r="C34" s="22"/>
      <c r="D34" s="20" t="str">
        <f>IFERROR(__xludf.DUMMYFUNCTION("""COMPUTED_VALUE"""),"La creatividad")</f>
        <v>La creatividad</v>
      </c>
      <c r="E34" s="22"/>
      <c r="F34" s="20" t="str">
        <f>IFERROR(__xludf.DUMMYFUNCTION("""COMPUTED_VALUE"""),"Método para ser más eficiente")</f>
        <v>Método para ser más eficiente</v>
      </c>
      <c r="G34" s="21"/>
      <c r="H34" s="22"/>
    </row>
    <row r="35" ht="15.75" customHeight="1">
      <c r="A35" s="59">
        <v>8.0</v>
      </c>
      <c r="B35" s="60" t="str">
        <f>IFERROR(__xludf.DUMMYFUNCTION("""COMPUTED_VALUE"""),"Unidad 1: La creatividad y bloqueos mentales")</f>
        <v>Unidad 1: La creatividad y bloqueos mentales</v>
      </c>
      <c r="C35" s="60"/>
      <c r="D35" s="60" t="str">
        <f>IFERROR(__xludf.DUMMYFUNCTION("""COMPUTED_VALUE"""),"Modelos Mentales")</f>
        <v>Modelos Mentales</v>
      </c>
      <c r="E35" s="60"/>
      <c r="F35" s="61" t="str">
        <f>IFERROR(__xludf.DUMMYFUNCTION("""COMPUTED_VALUE"""),"Bloqueos perceptivos")</f>
        <v>Bloqueos perceptivos</v>
      </c>
      <c r="G35" s="21"/>
      <c r="H35" s="22"/>
    </row>
    <row r="36" ht="15.75" customHeight="1">
      <c r="A36" s="59">
        <v>9.0</v>
      </c>
      <c r="B36" s="60" t="str">
        <f>IFERROR(__xludf.DUMMYFUNCTION("""COMPUTED_VALUE"""),"Unidad 1: La creatividad y bloqueos mentales")</f>
        <v>Unidad 1: La creatividad y bloqueos mentales</v>
      </c>
      <c r="C36" s="60"/>
      <c r="D36" s="60" t="str">
        <f>IFERROR(__xludf.DUMMYFUNCTION("""COMPUTED_VALUE"""),"Modelos Mentales")</f>
        <v>Modelos Mentales</v>
      </c>
      <c r="E36" s="60"/>
      <c r="F36" s="61" t="str">
        <f>IFERROR(__xludf.DUMMYFUNCTION("""COMPUTED_VALUE"""),"Bloqueos emocionales")</f>
        <v>Bloqueos emocionales</v>
      </c>
      <c r="G36" s="21"/>
      <c r="H36" s="22"/>
    </row>
    <row r="37" ht="15.75" customHeight="1">
      <c r="A37" s="62">
        <v>10.0</v>
      </c>
      <c r="B37" s="23" t="str">
        <f>IFERROR(__xludf.DUMMYFUNCTION("""COMPUTED_VALUE"""),"Unidad 1: La creatividad y bloqueos mentales")</f>
        <v>Unidad 1: La creatividad y bloqueos mentales</v>
      </c>
      <c r="C37" s="23"/>
      <c r="D37" s="23" t="str">
        <f>IFERROR(__xludf.DUMMYFUNCTION("""COMPUTED_VALUE"""),"Modelos Mentales")</f>
        <v>Modelos Mentales</v>
      </c>
      <c r="E37" s="23"/>
      <c r="F37" s="20" t="str">
        <f>IFERROR(__xludf.DUMMYFUNCTION("""COMPUTED_VALUE"""),"Bloqueos culturales")</f>
        <v>Bloqueos culturales</v>
      </c>
      <c r="G37" s="21"/>
      <c r="H37" s="22"/>
    </row>
    <row r="38" ht="15.75" customHeight="1">
      <c r="A38" s="63">
        <v>11.0</v>
      </c>
      <c r="B38" s="64" t="str">
        <f>IFERROR(__xludf.DUMMYFUNCTION("""COMPUTED_VALUE"""),"Unidad 1: La creatividad y bloqueos mentales")</f>
        <v>Unidad 1: La creatividad y bloqueos mentales</v>
      </c>
      <c r="C38" s="64"/>
      <c r="D38" s="64" t="str">
        <f>IFERROR(__xludf.DUMMYFUNCTION("""COMPUTED_VALUE"""),"Modelos Mentales")</f>
        <v>Modelos Mentales</v>
      </c>
      <c r="E38" s="64"/>
      <c r="F38" s="65" t="str">
        <f>IFERROR(__xludf.DUMMYFUNCTION("""COMPUTED_VALUE"""),"Bloqueos ambientales")</f>
        <v>Bloqueos ambientales</v>
      </c>
      <c r="G38" s="21"/>
      <c r="H38" s="22"/>
    </row>
    <row r="39" ht="15.75" customHeight="1">
      <c r="A39" s="63">
        <v>12.0</v>
      </c>
      <c r="B39" s="64" t="str">
        <f>IFERROR(__xludf.DUMMYFUNCTION("""COMPUTED_VALUE"""),"Unidad 1: La creatividad y bloqueos mentales")</f>
        <v>Unidad 1: La creatividad y bloqueos mentales</v>
      </c>
      <c r="C39" s="64"/>
      <c r="D39" s="64" t="str">
        <f>IFERROR(__xludf.DUMMYFUNCTION("""COMPUTED_VALUE"""),"Modelos Mentales")</f>
        <v>Modelos Mentales</v>
      </c>
      <c r="E39" s="64"/>
      <c r="F39" s="65" t="str">
        <f>IFERROR(__xludf.DUMMYFUNCTION("""COMPUTED_VALUE"""),"Bloqueos intelectuales")</f>
        <v>Bloqueos intelectuales</v>
      </c>
      <c r="G39" s="21"/>
      <c r="H39" s="22"/>
    </row>
    <row r="40" ht="15.75" customHeight="1">
      <c r="A40" s="63">
        <v>13.0</v>
      </c>
      <c r="B40" s="64" t="str">
        <f>IFERROR(__xludf.DUMMYFUNCTION("""COMPUTED_VALUE"""),"Unidad 1: La creatividad y bloqueos mentales")</f>
        <v>Unidad 1: La creatividad y bloqueos mentales</v>
      </c>
      <c r="C40" s="64"/>
      <c r="D40" s="64" t="str">
        <f>IFERROR(__xludf.DUMMYFUNCTION("""COMPUTED_VALUE"""),"Modelos Mentales")</f>
        <v>Modelos Mentales</v>
      </c>
      <c r="E40" s="64"/>
      <c r="F40" s="65" t="str">
        <f>IFERROR(__xludf.DUMMYFUNCTION("""COMPUTED_VALUE"""),"Bloqueos expresivos")</f>
        <v>Bloqueos expresivos</v>
      </c>
      <c r="G40" s="21"/>
      <c r="H40" s="22"/>
    </row>
    <row r="41" ht="15.75" customHeight="1">
      <c r="A41" s="66"/>
      <c r="B41" s="66"/>
      <c r="C41" s="66"/>
      <c r="D41" s="66"/>
      <c r="E41" s="66"/>
      <c r="F41" s="66"/>
      <c r="G41" s="66"/>
      <c r="H41" s="66"/>
    </row>
    <row r="42" ht="15.75" customHeight="1">
      <c r="A42" s="67" t="s">
        <v>188</v>
      </c>
      <c r="B42" s="66"/>
      <c r="C42" s="66"/>
      <c r="D42" s="66"/>
      <c r="E42" s="66"/>
      <c r="F42" s="66"/>
      <c r="G42" s="66"/>
      <c r="H42" s="66"/>
    </row>
    <row r="43" ht="15.75" customHeight="1">
      <c r="A43" s="57" t="s">
        <v>189</v>
      </c>
      <c r="B43" s="57" t="s">
        <v>190</v>
      </c>
      <c r="C43" s="68" t="s">
        <v>191</v>
      </c>
      <c r="D43" s="69" t="s">
        <v>129</v>
      </c>
      <c r="E43" s="21"/>
      <c r="F43" s="21"/>
      <c r="G43" s="21"/>
      <c r="H43" s="22"/>
    </row>
    <row r="44" ht="15.75" customHeight="1">
      <c r="A44" s="23" t="s">
        <v>192</v>
      </c>
      <c r="B44" s="23" t="s">
        <v>193</v>
      </c>
      <c r="C44" s="62" t="s">
        <v>194</v>
      </c>
      <c r="D44" s="34">
        <v>30.0</v>
      </c>
      <c r="E44" s="21"/>
      <c r="F44" s="21"/>
      <c r="G44" s="21"/>
      <c r="H44" s="22"/>
    </row>
    <row r="45" ht="15.75" customHeight="1">
      <c r="A45" s="23" t="s">
        <v>195</v>
      </c>
      <c r="B45" s="23" t="s">
        <v>193</v>
      </c>
      <c r="C45" s="62" t="s">
        <v>196</v>
      </c>
      <c r="D45" s="34">
        <v>10.0</v>
      </c>
      <c r="E45" s="21"/>
      <c r="F45" s="21"/>
      <c r="G45" s="21"/>
      <c r="H45" s="22"/>
    </row>
    <row r="46" ht="15.75" customHeight="1">
      <c r="A46" s="23" t="s">
        <v>197</v>
      </c>
      <c r="B46" s="23" t="s">
        <v>198</v>
      </c>
      <c r="C46" s="17" t="s">
        <v>196</v>
      </c>
      <c r="D46" s="34">
        <v>10.0</v>
      </c>
      <c r="E46" s="21"/>
      <c r="F46" s="21"/>
      <c r="G46" s="21"/>
      <c r="H46" s="22"/>
    </row>
    <row r="47" ht="15.75" customHeight="1">
      <c r="A47" s="23" t="s">
        <v>199</v>
      </c>
      <c r="B47" s="23" t="s">
        <v>193</v>
      </c>
      <c r="C47" s="62" t="s">
        <v>196</v>
      </c>
      <c r="D47" s="34">
        <v>10.0</v>
      </c>
      <c r="E47" s="21"/>
      <c r="F47" s="21"/>
      <c r="G47" s="21"/>
      <c r="H47" s="22"/>
    </row>
    <row r="48" ht="15.75" customHeight="1"/>
    <row r="49" ht="15.75" customHeight="1">
      <c r="A49" s="45" t="s">
        <v>200</v>
      </c>
      <c r="G49" s="39" t="s">
        <v>129</v>
      </c>
      <c r="H49" s="46">
        <f>B55</f>
        <v>25</v>
      </c>
    </row>
    <row r="50" ht="15.75" customHeight="1">
      <c r="G50" s="28" t="s">
        <v>201</v>
      </c>
    </row>
    <row r="51" ht="15.75" customHeight="1">
      <c r="A51" s="28" t="s">
        <v>202</v>
      </c>
    </row>
    <row r="52">
      <c r="A52" s="33" t="s">
        <v>203</v>
      </c>
      <c r="B52" s="34" t="s">
        <v>12</v>
      </c>
      <c r="C52" s="21"/>
      <c r="D52" s="21"/>
      <c r="E52" s="21"/>
      <c r="F52" s="21"/>
      <c r="G52" s="21"/>
      <c r="H52" s="22"/>
    </row>
    <row r="53" ht="15.75" customHeight="1">
      <c r="A53" s="33" t="s">
        <v>204</v>
      </c>
      <c r="B53" s="20" t="s">
        <v>205</v>
      </c>
      <c r="C53" s="21"/>
      <c r="D53" s="21"/>
      <c r="E53" s="21"/>
      <c r="F53" s="21"/>
      <c r="G53" s="21"/>
      <c r="H53" s="22"/>
    </row>
    <row r="54" ht="15.75" customHeight="1">
      <c r="A54" s="33" t="s">
        <v>171</v>
      </c>
      <c r="B54" s="70">
        <v>0.0</v>
      </c>
      <c r="C54" s="21"/>
      <c r="D54" s="21"/>
      <c r="E54" s="21"/>
      <c r="F54" s="21"/>
      <c r="G54" s="21"/>
      <c r="H54" s="22"/>
    </row>
    <row r="55" ht="15.75" customHeight="1">
      <c r="A55" s="33" t="s">
        <v>129</v>
      </c>
      <c r="B55" s="34">
        <v>25.0</v>
      </c>
      <c r="C55" s="21"/>
      <c r="D55" s="21"/>
      <c r="E55" s="21"/>
      <c r="F55" s="21"/>
      <c r="G55" s="21"/>
      <c r="H55" s="22"/>
    </row>
    <row r="56" ht="15.75" customHeight="1">
      <c r="A56" s="71" t="s">
        <v>206</v>
      </c>
      <c r="B56" s="5"/>
      <c r="C56" s="5"/>
      <c r="D56" s="5"/>
      <c r="E56" s="5"/>
      <c r="F56" s="5"/>
      <c r="G56" s="5"/>
      <c r="H56" s="5"/>
    </row>
    <row r="57" ht="15.75" customHeight="1">
      <c r="A57" s="54" t="s">
        <v>207</v>
      </c>
      <c r="B57" s="21"/>
      <c r="C57" s="21"/>
      <c r="D57" s="21"/>
      <c r="E57" s="21"/>
      <c r="F57" s="21"/>
      <c r="G57" s="21"/>
      <c r="H57" s="22"/>
    </row>
    <row r="58" ht="15.75" customHeight="1">
      <c r="A58" s="48" t="s">
        <v>208</v>
      </c>
      <c r="B58" s="49"/>
      <c r="C58" s="49"/>
      <c r="D58" s="49"/>
      <c r="E58" s="49"/>
      <c r="F58" s="49"/>
      <c r="G58" s="49"/>
      <c r="H58" s="50"/>
    </row>
    <row r="59" ht="15.75" customHeight="1">
      <c r="A59" s="72"/>
      <c r="H59" s="73"/>
    </row>
    <row r="60" ht="15.75" customHeight="1">
      <c r="A60" s="51"/>
      <c r="B60" s="52"/>
      <c r="C60" s="52"/>
      <c r="D60" s="52"/>
      <c r="E60" s="52"/>
      <c r="F60" s="52"/>
      <c r="G60" s="52"/>
      <c r="H60" s="53"/>
    </row>
    <row r="61" ht="15.75" customHeight="1"/>
    <row r="62" ht="15.75" customHeight="1">
      <c r="A62" s="28" t="s">
        <v>209</v>
      </c>
    </row>
    <row r="63">
      <c r="A63" s="33" t="s">
        <v>203</v>
      </c>
      <c r="B63" s="20"/>
      <c r="C63" s="21"/>
      <c r="D63" s="21"/>
      <c r="E63" s="21"/>
      <c r="F63" s="21"/>
      <c r="G63" s="21"/>
      <c r="H63" s="22"/>
    </row>
    <row r="64" ht="15.75" customHeight="1">
      <c r="A64" s="33" t="s">
        <v>204</v>
      </c>
      <c r="B64" s="20"/>
      <c r="C64" s="21"/>
      <c r="D64" s="21"/>
      <c r="E64" s="21"/>
      <c r="F64" s="21"/>
      <c r="G64" s="21"/>
      <c r="H64" s="22"/>
    </row>
    <row r="65" ht="15.75" customHeight="1">
      <c r="A65" s="33" t="s">
        <v>171</v>
      </c>
      <c r="B65" s="70"/>
      <c r="C65" s="21"/>
      <c r="D65" s="21"/>
      <c r="E65" s="21"/>
      <c r="F65" s="21"/>
      <c r="G65" s="21"/>
      <c r="H65" s="22"/>
    </row>
    <row r="66" ht="15.75" customHeight="1">
      <c r="A66" s="33" t="s">
        <v>129</v>
      </c>
      <c r="B66" s="70"/>
      <c r="C66" s="21"/>
      <c r="D66" s="21"/>
      <c r="E66" s="21"/>
      <c r="F66" s="21"/>
      <c r="G66" s="21"/>
      <c r="H66" s="22"/>
    </row>
    <row r="67" ht="15.75" customHeight="1">
      <c r="A67" s="74" t="s">
        <v>210</v>
      </c>
      <c r="B67" s="5"/>
      <c r="C67" s="5"/>
      <c r="D67" s="5"/>
      <c r="E67" s="5"/>
      <c r="F67" s="5"/>
      <c r="G67" s="5"/>
      <c r="H67" s="5"/>
    </row>
    <row r="68" ht="15.75" customHeight="1">
      <c r="A68" s="54" t="s">
        <v>207</v>
      </c>
      <c r="B68" s="21"/>
      <c r="C68" s="21"/>
      <c r="D68" s="21"/>
      <c r="E68" s="21"/>
      <c r="F68" s="21"/>
      <c r="G68" s="21"/>
      <c r="H68" s="22"/>
    </row>
    <row r="69" ht="15.75" customHeight="1">
      <c r="A69" s="48" t="s">
        <v>211</v>
      </c>
      <c r="B69" s="49"/>
      <c r="C69" s="49"/>
      <c r="D69" s="49"/>
      <c r="E69" s="49"/>
      <c r="F69" s="49"/>
      <c r="G69" s="49"/>
      <c r="H69" s="50"/>
    </row>
    <row r="70" ht="15.75" customHeight="1">
      <c r="A70" s="72"/>
      <c r="H70" s="73"/>
    </row>
    <row r="71" ht="15.75" customHeight="1">
      <c r="A71" s="51"/>
      <c r="B71" s="52"/>
      <c r="C71" s="52"/>
      <c r="D71" s="52"/>
      <c r="E71" s="52"/>
      <c r="F71" s="52"/>
      <c r="G71" s="52"/>
      <c r="H71" s="53"/>
    </row>
    <row r="72" ht="15.75" customHeight="1"/>
    <row r="73" ht="15.75" customHeight="1">
      <c r="A73" s="45" t="s">
        <v>212</v>
      </c>
      <c r="G73" s="39" t="s">
        <v>129</v>
      </c>
      <c r="H73" s="46">
        <f>B75</f>
        <v>10</v>
      </c>
    </row>
    <row r="74" ht="15.75" customHeight="1">
      <c r="G74" s="28" t="s">
        <v>213</v>
      </c>
    </row>
    <row r="75" ht="15.75" customHeight="1">
      <c r="A75" s="33" t="s">
        <v>129</v>
      </c>
      <c r="B75" s="75">
        <v>10.0</v>
      </c>
      <c r="C75" s="21"/>
      <c r="D75" s="21"/>
      <c r="E75" s="21"/>
      <c r="F75" s="21"/>
      <c r="G75" s="21"/>
      <c r="H75" s="22"/>
    </row>
    <row r="76" ht="15.75" customHeight="1">
      <c r="A76" s="69" t="s">
        <v>214</v>
      </c>
      <c r="B76" s="21"/>
      <c r="C76" s="21"/>
      <c r="D76" s="21"/>
      <c r="E76" s="21"/>
      <c r="F76" s="21"/>
      <c r="G76" s="21"/>
      <c r="H76" s="22"/>
    </row>
    <row r="77" ht="15.75" customHeight="1">
      <c r="A77" s="48" t="s">
        <v>215</v>
      </c>
      <c r="B77" s="49"/>
      <c r="C77" s="49"/>
      <c r="D77" s="49"/>
      <c r="E77" s="49"/>
      <c r="F77" s="49"/>
      <c r="G77" s="49"/>
      <c r="H77" s="50"/>
    </row>
    <row r="78" ht="15.75" customHeight="1">
      <c r="A78" s="51"/>
      <c r="B78" s="52"/>
      <c r="C78" s="52"/>
      <c r="D78" s="52"/>
      <c r="E78" s="52"/>
      <c r="F78" s="52"/>
      <c r="G78" s="52"/>
      <c r="H78" s="53"/>
    </row>
    <row r="79" ht="15.75" customHeight="1">
      <c r="A79" s="28" t="s">
        <v>216</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7">
    <mergeCell ref="F40:H40"/>
    <mergeCell ref="D43:H43"/>
    <mergeCell ref="D44:H44"/>
    <mergeCell ref="D45:H45"/>
    <mergeCell ref="D46:H46"/>
    <mergeCell ref="D47:H47"/>
    <mergeCell ref="A49:F49"/>
    <mergeCell ref="B52:H52"/>
    <mergeCell ref="B53:H53"/>
    <mergeCell ref="B54:H54"/>
    <mergeCell ref="B55:H55"/>
    <mergeCell ref="A57:H57"/>
    <mergeCell ref="A58:H60"/>
    <mergeCell ref="B63:H63"/>
    <mergeCell ref="A76:H76"/>
    <mergeCell ref="A77:H78"/>
    <mergeCell ref="B64:H64"/>
    <mergeCell ref="B65:H65"/>
    <mergeCell ref="B66:H66"/>
    <mergeCell ref="A68:H68"/>
    <mergeCell ref="A69:H71"/>
    <mergeCell ref="A73:F73"/>
    <mergeCell ref="B75:H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F39:H39"/>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50.7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3.0</v>
      </c>
      <c r="D5" s="21"/>
      <c r="E5" s="21"/>
      <c r="F5" s="21"/>
      <c r="G5" s="22"/>
    </row>
    <row r="6" ht="15.75" customHeight="1">
      <c r="B6" s="43" t="s">
        <v>126</v>
      </c>
      <c r="C6" s="20">
        <f>H10+H21+H51+H75</f>
        <v>110</v>
      </c>
      <c r="D6" s="21"/>
      <c r="E6" s="21"/>
      <c r="F6" s="21"/>
      <c r="G6" s="22"/>
      <c r="I6" s="5"/>
    </row>
    <row r="7" ht="15.75" customHeight="1">
      <c r="B7" s="43" t="s">
        <v>171</v>
      </c>
      <c r="C7" s="20">
        <f>B56+B67</f>
        <v>0</v>
      </c>
      <c r="D7" s="21"/>
      <c r="E7" s="21"/>
      <c r="F7" s="21"/>
      <c r="G7" s="22"/>
    </row>
    <row r="8" ht="15.75" customHeight="1">
      <c r="B8" s="43" t="s">
        <v>172</v>
      </c>
      <c r="C8" s="44" t="str">
        <f>IF(H51&lt;=0, "❌ ERROR: La Actividad 1 debe tener un tiempo mayor a 0.", IF(H21&gt;60, "❌ ERROR: El 'Área de Conocimiento' no puede exceder los 60 min.", IF((H10+H21+H51)&lt;100,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55">
        <v>5.0</v>
      </c>
    </row>
    <row r="11" ht="15.75" customHeight="1">
      <c r="G11" s="28" t="s">
        <v>174</v>
      </c>
    </row>
    <row r="12" ht="15.75" customHeight="1">
      <c r="A12" s="33" t="s">
        <v>175</v>
      </c>
      <c r="B12" s="34" t="s">
        <v>217</v>
      </c>
      <c r="C12" s="21"/>
      <c r="D12" s="21"/>
      <c r="E12" s="21"/>
      <c r="F12" s="21"/>
      <c r="G12" s="21"/>
      <c r="H12" s="22"/>
    </row>
    <row r="13" ht="15.75" customHeight="1">
      <c r="A13" s="35" t="s">
        <v>129</v>
      </c>
      <c r="B13" s="34">
        <v>5.0</v>
      </c>
      <c r="C13" s="21"/>
      <c r="D13" s="21"/>
      <c r="E13" s="21"/>
      <c r="F13" s="21"/>
      <c r="G13" s="21"/>
      <c r="H13" s="22"/>
    </row>
    <row r="14" ht="15.75" customHeight="1">
      <c r="A14" s="54" t="s">
        <v>218</v>
      </c>
      <c r="B14" s="21"/>
      <c r="C14" s="21"/>
      <c r="D14" s="21"/>
      <c r="E14" s="21"/>
      <c r="F14" s="21"/>
      <c r="G14" s="21"/>
      <c r="H14" s="22"/>
    </row>
    <row r="15" ht="15.75" customHeight="1">
      <c r="A15" s="76" t="s">
        <v>219</v>
      </c>
      <c r="B15" s="49"/>
      <c r="C15" s="49"/>
      <c r="D15" s="49"/>
      <c r="E15" s="49"/>
      <c r="F15" s="49"/>
      <c r="G15" s="49"/>
      <c r="H15" s="50"/>
    </row>
    <row r="16" ht="15.75"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220</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181</v>
      </c>
      <c r="G21" s="39" t="s">
        <v>129</v>
      </c>
      <c r="H21" s="55">
        <v>60.0</v>
      </c>
      <c r="I21" s="5"/>
    </row>
    <row r="22" ht="15.75" customHeight="1">
      <c r="G22" s="28" t="s">
        <v>182</v>
      </c>
    </row>
    <row r="23" ht="15.75" customHeight="1">
      <c r="A23" s="33" t="s">
        <v>183</v>
      </c>
      <c r="B23" s="34" t="s">
        <v>33</v>
      </c>
      <c r="C23" s="21"/>
      <c r="D23" s="21"/>
      <c r="E23" s="21"/>
      <c r="F23" s="21"/>
      <c r="G23" s="21"/>
      <c r="H23" s="22"/>
    </row>
    <row r="24" ht="15.75" customHeight="1">
      <c r="A24" s="33" t="s">
        <v>183</v>
      </c>
      <c r="B24" s="20"/>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IFERROR(__xludf.DUMMYFUNCTION("FILTER('Diseño'!D:D,'Diseño'!H:H=$C$5)"),"Unidad 2: Lógica")</f>
        <v>Unidad 2: Lógica</v>
      </c>
      <c r="C28" s="22"/>
      <c r="D28" s="20" t="str">
        <f>IFERROR(__xludf.DUMMYFUNCTION("FILTER('Diseño'!E:E,'Diseño'!H:H=$C$5)"),"Lógica")</f>
        <v>Lógica</v>
      </c>
      <c r="E28" s="22"/>
      <c r="F28" s="20" t="str">
        <f>IFERROR(__xludf.DUMMYFUNCTION("FILTER('Diseño'!F:F,'Diseño'!H:H=$C$5)"),"Introducción a la Lógica")</f>
        <v>Introducción a la Lógica</v>
      </c>
      <c r="G28" s="21"/>
      <c r="H28" s="22"/>
    </row>
    <row r="29" ht="15.75" customHeight="1">
      <c r="A29" s="23">
        <v>2.0</v>
      </c>
      <c r="B29" s="20" t="str">
        <f>IFERROR(__xludf.DUMMYFUNCTION("""COMPUTED_VALUE"""),"Unidad 2: Lógica")</f>
        <v>Unidad 2: Lógica</v>
      </c>
      <c r="C29" s="22"/>
      <c r="D29" s="20" t="str">
        <f>IFERROR(__xludf.DUMMYFUNCTION("""COMPUTED_VALUE"""),"Lógica")</f>
        <v>Lógica</v>
      </c>
      <c r="E29" s="22"/>
      <c r="F29" s="20" t="str">
        <f>IFERROR(__xludf.DUMMYFUNCTION("""COMPUTED_VALUE"""),"Etimologia de la Lógica")</f>
        <v>Etimologia de la Lógica</v>
      </c>
      <c r="G29" s="21"/>
      <c r="H29" s="22"/>
    </row>
    <row r="30" ht="15.75" customHeight="1">
      <c r="A30" s="23">
        <v>3.0</v>
      </c>
      <c r="B30" s="20" t="str">
        <f>IFERROR(__xludf.DUMMYFUNCTION("""COMPUTED_VALUE"""),"Unidad 2: Lógica")</f>
        <v>Unidad 2: Lógica</v>
      </c>
      <c r="C30" s="22"/>
      <c r="D30" s="20" t="str">
        <f>IFERROR(__xludf.DUMMYFUNCTION("""COMPUTED_VALUE"""),"Lógica")</f>
        <v>Lógica</v>
      </c>
      <c r="E30" s="22"/>
      <c r="F30" s="20" t="str">
        <f>IFERROR(__xludf.DUMMYFUNCTION("""COMPUTED_VALUE"""),"Pensar y Razonar")</f>
        <v>Pensar y Razonar</v>
      </c>
      <c r="G30" s="21"/>
      <c r="H30" s="22"/>
    </row>
    <row r="31" ht="15.75" customHeight="1">
      <c r="A31" s="23">
        <v>4.0</v>
      </c>
      <c r="B31" s="20" t="str">
        <f>IFERROR(__xludf.DUMMYFUNCTION("""COMPUTED_VALUE"""),"Unidad 2: Lógica")</f>
        <v>Unidad 2: Lógica</v>
      </c>
      <c r="C31" s="22"/>
      <c r="D31" s="20" t="str">
        <f>IFERROR(__xludf.DUMMYFUNCTION("""COMPUTED_VALUE"""),"Lógica")</f>
        <v>Lógica</v>
      </c>
      <c r="E31" s="22"/>
      <c r="F31" s="20" t="str">
        <f>IFERROR(__xludf.DUMMYFUNCTION("""COMPUTED_VALUE"""),"Razonamiento Lógico")</f>
        <v>Razonamiento Lógico</v>
      </c>
      <c r="G31" s="21"/>
      <c r="H31" s="22"/>
    </row>
    <row r="32" ht="15.75" customHeight="1">
      <c r="A32" s="23">
        <v>5.0</v>
      </c>
      <c r="B32" s="20" t="str">
        <f>IFERROR(__xludf.DUMMYFUNCTION("""COMPUTED_VALUE"""),"Unidad 2: Lógica")</f>
        <v>Unidad 2: Lógica</v>
      </c>
      <c r="C32" s="22"/>
      <c r="D32" s="20" t="str">
        <f>IFERROR(__xludf.DUMMYFUNCTION("""COMPUTED_VALUE"""),"Lógica")</f>
        <v>Lógica</v>
      </c>
      <c r="E32" s="22"/>
      <c r="F32" s="20" t="str">
        <f>IFERROR(__xludf.DUMMYFUNCTION("""COMPUTED_VALUE"""),"Relación entre la Lógica y otras Ciencias")</f>
        <v>Relación entre la Lógica y otras Ciencias</v>
      </c>
      <c r="G32" s="21"/>
      <c r="H32" s="22"/>
    </row>
    <row r="33" ht="15.75" customHeight="1">
      <c r="A33" s="23">
        <v>6.0</v>
      </c>
      <c r="B33" s="20" t="str">
        <f>IFERROR(__xludf.DUMMYFUNCTION("""COMPUTED_VALUE"""),"Unidad 2: Lógica")</f>
        <v>Unidad 2: Lógica</v>
      </c>
      <c r="C33" s="22"/>
      <c r="D33" s="20" t="str">
        <f>IFERROR(__xludf.DUMMYFUNCTION("""COMPUTED_VALUE"""),"Lógica")</f>
        <v>Lógica</v>
      </c>
      <c r="E33" s="22"/>
      <c r="F33" s="20" t="str">
        <f>IFERROR(__xludf.DUMMYFUNCTION("""COMPUTED_VALUE"""),"Reduccionimo Lógico")</f>
        <v>Reduccionimo Lógico</v>
      </c>
      <c r="G33" s="21"/>
      <c r="H33" s="22"/>
    </row>
    <row r="34" ht="15.75" customHeight="1">
      <c r="A34" s="23">
        <v>7.0</v>
      </c>
      <c r="B34" s="20" t="str">
        <f>IFERROR(__xludf.DUMMYFUNCTION("""COMPUTED_VALUE"""),"Unidad 2: Lógica")</f>
        <v>Unidad 2: Lógica</v>
      </c>
      <c r="C34" s="22"/>
      <c r="D34" s="20" t="str">
        <f>IFERROR(__xludf.DUMMYFUNCTION("""COMPUTED_VALUE"""),"Lógica")</f>
        <v>Lógica</v>
      </c>
      <c r="E34" s="22"/>
      <c r="F34" s="20" t="str">
        <f>IFERROR(__xludf.DUMMYFUNCTION("""COMPUTED_VALUE"""),"Lógica y Psicología")</f>
        <v>Lógica y Psicología</v>
      </c>
      <c r="G34" s="21"/>
      <c r="H34" s="22"/>
    </row>
    <row r="35" ht="15.75" customHeight="1">
      <c r="A35" s="23">
        <v>8.0</v>
      </c>
      <c r="B35" s="60" t="str">
        <f>IFERROR(__xludf.DUMMYFUNCTION("""COMPUTED_VALUE"""),"Unidad 2: Lógica")</f>
        <v>Unidad 2: Lógica</v>
      </c>
      <c r="C35" s="60"/>
      <c r="D35" s="60" t="str">
        <f>IFERROR(__xludf.DUMMYFUNCTION("""COMPUTED_VALUE"""),"La Lógica y otras Ciencias")</f>
        <v>La Lógica y otras Ciencias</v>
      </c>
      <c r="E35" s="60"/>
      <c r="F35" s="61" t="str">
        <f>IFERROR(__xludf.DUMMYFUNCTION("""COMPUTED_VALUE"""),"Lógica y Sociología")</f>
        <v>Lógica y Sociología</v>
      </c>
      <c r="G35" s="21"/>
      <c r="H35" s="22"/>
    </row>
    <row r="36" ht="15.75" customHeight="1">
      <c r="A36" s="23">
        <v>9.0</v>
      </c>
      <c r="B36" s="60" t="str">
        <f>IFERROR(__xludf.DUMMYFUNCTION("""COMPUTED_VALUE"""),"Unidad 2: Lógica")</f>
        <v>Unidad 2: Lógica</v>
      </c>
      <c r="C36" s="60"/>
      <c r="D36" s="60" t="str">
        <f>IFERROR(__xludf.DUMMYFUNCTION("""COMPUTED_VALUE"""),"La Lógica y otras Ciencias")</f>
        <v>La Lógica y otras Ciencias</v>
      </c>
      <c r="E36" s="60"/>
      <c r="F36" s="61" t="str">
        <f>IFERROR(__xludf.DUMMYFUNCTION("""COMPUTED_VALUE"""),"Lógica y Matemáticas")</f>
        <v>Lógica y Matemáticas</v>
      </c>
      <c r="G36" s="21"/>
      <c r="H36" s="22"/>
    </row>
    <row r="37" ht="15.75" customHeight="1">
      <c r="A37" s="23">
        <v>10.0</v>
      </c>
      <c r="B37" s="60" t="str">
        <f>IFERROR(__xludf.DUMMYFUNCTION("""COMPUTED_VALUE"""),"Unidad 2: Lógica")</f>
        <v>Unidad 2: Lógica</v>
      </c>
      <c r="C37" s="60"/>
      <c r="D37" s="60" t="str">
        <f>IFERROR(__xludf.DUMMYFUNCTION("""COMPUTED_VALUE"""),"La Lógica y otras Ciencias")</f>
        <v>La Lógica y otras Ciencias</v>
      </c>
      <c r="E37" s="60"/>
      <c r="F37" s="61" t="str">
        <f>IFERROR(__xludf.DUMMYFUNCTION("""COMPUTED_VALUE"""),"Lógica y Gramática")</f>
        <v>Lógica y Gramática</v>
      </c>
      <c r="G37" s="21"/>
      <c r="H37" s="22"/>
    </row>
    <row r="38" ht="15.75" customHeight="1">
      <c r="A38" s="23">
        <v>11.0</v>
      </c>
      <c r="B38" s="60" t="str">
        <f>IFERROR(__xludf.DUMMYFUNCTION("""COMPUTED_VALUE"""),"Unidad 2: Lógica")</f>
        <v>Unidad 2: Lógica</v>
      </c>
      <c r="C38" s="60"/>
      <c r="D38" s="60" t="str">
        <f>IFERROR(__xludf.DUMMYFUNCTION("""COMPUTED_VALUE"""),"La Lógica y otras Ciencias")</f>
        <v>La Lógica y otras Ciencias</v>
      </c>
      <c r="E38" s="60"/>
      <c r="F38" s="61" t="str">
        <f>IFERROR(__xludf.DUMMYFUNCTION("""COMPUTED_VALUE"""),"Lógica y Filosofía")</f>
        <v>Lógica y Filosofía</v>
      </c>
      <c r="G38" s="21"/>
      <c r="H38" s="22"/>
    </row>
    <row r="39" ht="15.75" customHeight="1">
      <c r="A39" s="23">
        <v>12.0</v>
      </c>
      <c r="B39" s="60" t="str">
        <f>IFERROR(__xludf.DUMMYFUNCTION("""COMPUTED_VALUE"""),"Unidad 2: Lógica")</f>
        <v>Unidad 2: Lógica</v>
      </c>
      <c r="C39" s="60"/>
      <c r="D39" s="60" t="str">
        <f>IFERROR(__xludf.DUMMYFUNCTION("""COMPUTED_VALUE"""),"La Lógica y otras Ciencias")</f>
        <v>La Lógica y otras Ciencias</v>
      </c>
      <c r="E39" s="60"/>
      <c r="F39" s="60" t="str">
        <f>IFERROR(__xludf.DUMMYFUNCTION("""COMPUTED_VALUE"""),"Definición de la Lógica como Ciencia")</f>
        <v>Definición de la Lógica como Ciencia</v>
      </c>
      <c r="G39" s="60"/>
      <c r="H39" s="60"/>
    </row>
    <row r="40" ht="15.75" customHeight="1">
      <c r="A40" s="23">
        <v>13.0</v>
      </c>
      <c r="B40" s="60" t="str">
        <f>IFERROR(__xludf.DUMMYFUNCTION("""COMPUTED_VALUE"""),"Unidad 2: Lógica")</f>
        <v>Unidad 2: Lógica</v>
      </c>
      <c r="C40" s="60"/>
      <c r="D40" s="60" t="str">
        <f>IFERROR(__xludf.DUMMYFUNCTION("""COMPUTED_VALUE"""),"La Lógica y otras Ciencias")</f>
        <v>La Lógica y otras Ciencias</v>
      </c>
      <c r="E40" s="60"/>
      <c r="F40" s="60" t="str">
        <f>IFERROR(__xludf.DUMMYFUNCTION("""COMPUTED_VALUE"""),"Estructura Fundamental de la Lógica")</f>
        <v>Estructura Fundamental de la Lógica</v>
      </c>
      <c r="G40" s="60"/>
      <c r="H40" s="60"/>
    </row>
    <row r="41" ht="15.75" customHeight="1">
      <c r="A41" s="23">
        <v>14.0</v>
      </c>
      <c r="B41" s="60" t="str">
        <f>IFERROR(__xludf.DUMMYFUNCTION("""COMPUTED_VALUE"""),"Unidad 2: Lógica")</f>
        <v>Unidad 2: Lógica</v>
      </c>
      <c r="C41" s="60"/>
      <c r="D41" s="60" t="str">
        <f>IFERROR(__xludf.DUMMYFUNCTION("""COMPUTED_VALUE"""),"La Lógica y otras Ciencias")</f>
        <v>La Lógica y otras Ciencias</v>
      </c>
      <c r="E41" s="60"/>
      <c r="F41" s="61" t="str">
        <f>IFERROR(__xludf.DUMMYFUNCTION("""COMPUTED_VALUE"""),"La Apofántica")</f>
        <v>La Apofántica</v>
      </c>
      <c r="G41" s="21"/>
      <c r="H41" s="22"/>
    </row>
    <row r="42" ht="15.75" customHeight="1">
      <c r="A42" s="56"/>
    </row>
    <row r="43" ht="15.75" customHeight="1">
      <c r="A43" s="56" t="s">
        <v>188</v>
      </c>
    </row>
    <row r="44" ht="15.75" customHeight="1">
      <c r="A44" s="5"/>
      <c r="B44" s="5"/>
      <c r="C44" s="5"/>
      <c r="D44" s="5"/>
      <c r="E44" s="5"/>
      <c r="F44" s="5"/>
      <c r="G44" s="5"/>
      <c r="H44" s="5"/>
    </row>
    <row r="45" ht="15.75" customHeight="1">
      <c r="A45" s="57" t="s">
        <v>189</v>
      </c>
      <c r="B45" s="57" t="s">
        <v>190</v>
      </c>
      <c r="C45" s="68" t="s">
        <v>191</v>
      </c>
      <c r="D45" s="69" t="s">
        <v>129</v>
      </c>
      <c r="E45" s="21"/>
      <c r="F45" s="21"/>
      <c r="G45" s="21"/>
      <c r="H45" s="22"/>
    </row>
    <row r="46" ht="15.75" customHeight="1">
      <c r="A46" s="23" t="s">
        <v>192</v>
      </c>
      <c r="B46" s="23" t="s">
        <v>193</v>
      </c>
      <c r="C46" s="59" t="s">
        <v>221</v>
      </c>
      <c r="D46" s="34">
        <v>30.0</v>
      </c>
      <c r="E46" s="21"/>
      <c r="F46" s="21"/>
      <c r="G46" s="21"/>
      <c r="H46" s="22"/>
    </row>
    <row r="47" ht="15.75" customHeight="1">
      <c r="A47" s="23" t="s">
        <v>195</v>
      </c>
      <c r="B47" s="23" t="s">
        <v>193</v>
      </c>
      <c r="C47" s="23" t="s">
        <v>222</v>
      </c>
      <c r="D47" s="34">
        <v>10.0</v>
      </c>
      <c r="E47" s="21"/>
      <c r="F47" s="21"/>
      <c r="G47" s="21"/>
      <c r="H47" s="22"/>
    </row>
    <row r="48" ht="15.75" customHeight="1">
      <c r="A48" s="23" t="s">
        <v>197</v>
      </c>
      <c r="B48" s="23" t="s">
        <v>198</v>
      </c>
      <c r="C48" s="59" t="s">
        <v>196</v>
      </c>
      <c r="D48" s="34">
        <v>10.0</v>
      </c>
      <c r="E48" s="21"/>
      <c r="F48" s="21"/>
      <c r="G48" s="21"/>
      <c r="H48" s="22"/>
    </row>
    <row r="49" ht="15.75" customHeight="1">
      <c r="A49" s="23" t="s">
        <v>199</v>
      </c>
      <c r="B49" s="23" t="s">
        <v>193</v>
      </c>
      <c r="C49" s="59" t="s">
        <v>196</v>
      </c>
      <c r="D49" s="34">
        <v>10.0</v>
      </c>
      <c r="E49" s="21"/>
      <c r="F49" s="21"/>
      <c r="G49" s="21"/>
      <c r="H49" s="22"/>
    </row>
    <row r="50" ht="15.75" customHeight="1"/>
    <row r="51" ht="15.75" customHeight="1">
      <c r="A51" s="45" t="s">
        <v>200</v>
      </c>
      <c r="G51" s="39" t="s">
        <v>129</v>
      </c>
      <c r="H51" s="55">
        <v>35.0</v>
      </c>
    </row>
    <row r="52" ht="15.75" customHeight="1">
      <c r="G52" s="28" t="s">
        <v>201</v>
      </c>
    </row>
    <row r="53" ht="15.75" customHeight="1">
      <c r="A53" s="28" t="s">
        <v>202</v>
      </c>
    </row>
    <row r="54">
      <c r="A54" s="33" t="s">
        <v>203</v>
      </c>
      <c r="B54" s="34" t="s">
        <v>33</v>
      </c>
      <c r="C54" s="21"/>
      <c r="D54" s="21"/>
      <c r="E54" s="21"/>
      <c r="F54" s="21"/>
      <c r="G54" s="21"/>
      <c r="H54" s="22"/>
    </row>
    <row r="55" ht="15.75" customHeight="1">
      <c r="A55" s="33" t="s">
        <v>204</v>
      </c>
      <c r="B55" s="20" t="s">
        <v>205</v>
      </c>
      <c r="C55" s="21"/>
      <c r="D55" s="21"/>
      <c r="E55" s="21"/>
      <c r="F55" s="21"/>
      <c r="G55" s="21"/>
      <c r="H55" s="22"/>
    </row>
    <row r="56" ht="15.75" customHeight="1">
      <c r="A56" s="33" t="s">
        <v>171</v>
      </c>
      <c r="B56" s="70">
        <v>0.0</v>
      </c>
      <c r="C56" s="21"/>
      <c r="D56" s="21"/>
      <c r="E56" s="21"/>
      <c r="F56" s="21"/>
      <c r="G56" s="21"/>
      <c r="H56" s="22"/>
    </row>
    <row r="57" ht="15.75" customHeight="1">
      <c r="A57" s="33" t="s">
        <v>129</v>
      </c>
      <c r="B57" s="34">
        <v>25.0</v>
      </c>
      <c r="C57" s="21"/>
      <c r="D57" s="21"/>
      <c r="E57" s="21"/>
      <c r="F57" s="21"/>
      <c r="G57" s="21"/>
      <c r="H57" s="22"/>
    </row>
    <row r="58" ht="15.75" customHeight="1">
      <c r="A58" s="71" t="s">
        <v>206</v>
      </c>
      <c r="B58" s="5"/>
      <c r="C58" s="5"/>
      <c r="D58" s="5"/>
      <c r="E58" s="5"/>
      <c r="F58" s="5"/>
      <c r="G58" s="5"/>
      <c r="H58" s="5"/>
    </row>
    <row r="59" ht="15.75" customHeight="1">
      <c r="A59" s="54" t="s">
        <v>207</v>
      </c>
      <c r="B59" s="21"/>
      <c r="C59" s="21"/>
      <c r="D59" s="21"/>
      <c r="E59" s="21"/>
      <c r="F59" s="21"/>
      <c r="G59" s="21"/>
      <c r="H59" s="22"/>
    </row>
    <row r="60" ht="15.75" customHeight="1">
      <c r="A60" s="48" t="s">
        <v>211</v>
      </c>
      <c r="B60" s="49"/>
      <c r="C60" s="49"/>
      <c r="D60" s="49"/>
      <c r="E60" s="49"/>
      <c r="F60" s="49"/>
      <c r="G60" s="49"/>
      <c r="H60" s="50"/>
    </row>
    <row r="61" ht="15.75" customHeight="1">
      <c r="A61" s="72"/>
      <c r="H61" s="73"/>
    </row>
    <row r="62" ht="15.75" customHeight="1">
      <c r="A62" s="51"/>
      <c r="B62" s="52"/>
      <c r="C62" s="52"/>
      <c r="D62" s="52"/>
      <c r="E62" s="52"/>
      <c r="F62" s="52"/>
      <c r="G62" s="52"/>
      <c r="H62" s="53"/>
    </row>
    <row r="63" ht="15.75" customHeight="1"/>
    <row r="64" ht="15.75" customHeight="1">
      <c r="A64" s="28" t="s">
        <v>209</v>
      </c>
    </row>
    <row r="65">
      <c r="A65" s="33" t="s">
        <v>203</v>
      </c>
      <c r="B65" s="34" t="s">
        <v>33</v>
      </c>
      <c r="C65" s="21"/>
      <c r="D65" s="21"/>
      <c r="E65" s="21"/>
      <c r="F65" s="21"/>
      <c r="G65" s="21"/>
      <c r="H65" s="22"/>
    </row>
    <row r="66" ht="15.75" customHeight="1">
      <c r="A66" s="33" t="s">
        <v>204</v>
      </c>
      <c r="B66" s="20"/>
      <c r="C66" s="21"/>
      <c r="D66" s="21"/>
      <c r="E66" s="21"/>
      <c r="F66" s="21"/>
      <c r="G66" s="21"/>
      <c r="H66" s="22"/>
    </row>
    <row r="67" ht="15.75" customHeight="1">
      <c r="A67" s="33" t="s">
        <v>171</v>
      </c>
      <c r="B67" s="70"/>
      <c r="C67" s="21"/>
      <c r="D67" s="21"/>
      <c r="E67" s="21"/>
      <c r="F67" s="21"/>
      <c r="G67" s="21"/>
      <c r="H67" s="22"/>
    </row>
    <row r="68" ht="15.75" customHeight="1">
      <c r="A68" s="33" t="s">
        <v>129</v>
      </c>
      <c r="B68" s="70"/>
      <c r="C68" s="21"/>
      <c r="D68" s="21"/>
      <c r="E68" s="21"/>
      <c r="F68" s="21"/>
      <c r="G68" s="21"/>
      <c r="H68" s="22"/>
    </row>
    <row r="69" ht="15.75" customHeight="1">
      <c r="A69" s="74" t="s">
        <v>210</v>
      </c>
      <c r="B69" s="5"/>
      <c r="C69" s="5"/>
      <c r="D69" s="5"/>
      <c r="E69" s="5"/>
      <c r="F69" s="5"/>
      <c r="G69" s="5"/>
      <c r="H69" s="5"/>
    </row>
    <row r="70" ht="15.75" customHeight="1">
      <c r="A70" s="54" t="s">
        <v>207</v>
      </c>
      <c r="B70" s="21"/>
      <c r="C70" s="21"/>
      <c r="D70" s="21"/>
      <c r="E70" s="21"/>
      <c r="F70" s="21"/>
      <c r="G70" s="21"/>
      <c r="H70" s="22"/>
    </row>
    <row r="71" ht="15.75" customHeight="1">
      <c r="A71" s="77"/>
      <c r="B71" s="49"/>
      <c r="C71" s="49"/>
      <c r="D71" s="49"/>
      <c r="E71" s="49"/>
      <c r="F71" s="49"/>
      <c r="G71" s="49"/>
      <c r="H71" s="50"/>
    </row>
    <row r="72" ht="15.75" customHeight="1">
      <c r="A72" s="72"/>
      <c r="H72" s="73"/>
    </row>
    <row r="73" ht="15.75" customHeight="1">
      <c r="A73" s="51"/>
      <c r="B73" s="52"/>
      <c r="C73" s="52"/>
      <c r="D73" s="52"/>
      <c r="E73" s="52"/>
      <c r="F73" s="52"/>
      <c r="G73" s="52"/>
      <c r="H73" s="53"/>
    </row>
    <row r="74" ht="15.75" customHeight="1"/>
    <row r="75" ht="15.75" customHeight="1">
      <c r="A75" s="45" t="s">
        <v>212</v>
      </c>
      <c r="G75" s="39" t="s">
        <v>129</v>
      </c>
      <c r="H75" s="55">
        <v>10.0</v>
      </c>
    </row>
    <row r="76" ht="15.75" customHeight="1">
      <c r="G76" s="28" t="s">
        <v>213</v>
      </c>
    </row>
    <row r="77" ht="15.75" customHeight="1">
      <c r="A77" s="33" t="s">
        <v>129</v>
      </c>
      <c r="B77" s="75">
        <v>10.0</v>
      </c>
      <c r="C77" s="21"/>
      <c r="D77" s="21"/>
      <c r="E77" s="21"/>
      <c r="F77" s="21"/>
      <c r="G77" s="21"/>
      <c r="H77" s="22"/>
    </row>
    <row r="78" ht="15.75" customHeight="1">
      <c r="A78" s="69" t="s">
        <v>214</v>
      </c>
      <c r="B78" s="21"/>
      <c r="C78" s="21"/>
      <c r="D78" s="21"/>
      <c r="E78" s="21"/>
      <c r="F78" s="21"/>
      <c r="G78" s="21"/>
      <c r="H78" s="22"/>
    </row>
    <row r="79" ht="15.75" customHeight="1">
      <c r="A79" s="48" t="s">
        <v>223</v>
      </c>
      <c r="B79" s="49"/>
      <c r="C79" s="49"/>
      <c r="D79" s="49"/>
      <c r="E79" s="49"/>
      <c r="F79" s="49"/>
      <c r="G79" s="49"/>
      <c r="H79" s="50"/>
    </row>
    <row r="80" ht="15.75" customHeight="1">
      <c r="A80" s="51"/>
      <c r="B80" s="52"/>
      <c r="C80" s="52"/>
      <c r="D80" s="52"/>
      <c r="E80" s="52"/>
      <c r="F80" s="52"/>
      <c r="G80" s="52"/>
      <c r="H80" s="53"/>
    </row>
    <row r="81" ht="15.75" customHeight="1">
      <c r="A81" s="28" t="s">
        <v>216</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66">
    <mergeCell ref="D45:H45"/>
    <mergeCell ref="D46:H46"/>
    <mergeCell ref="D47:H47"/>
    <mergeCell ref="D48:H48"/>
    <mergeCell ref="D49:H49"/>
    <mergeCell ref="A51:F51"/>
    <mergeCell ref="B54:H54"/>
    <mergeCell ref="B67:H67"/>
    <mergeCell ref="B68:H68"/>
    <mergeCell ref="A70:H70"/>
    <mergeCell ref="A71:H73"/>
    <mergeCell ref="A75:F75"/>
    <mergeCell ref="B77:H77"/>
    <mergeCell ref="A78:H78"/>
    <mergeCell ref="A79:H80"/>
    <mergeCell ref="B55:H55"/>
    <mergeCell ref="B56:H56"/>
    <mergeCell ref="B57:H57"/>
    <mergeCell ref="A59:H59"/>
    <mergeCell ref="A60:H62"/>
    <mergeCell ref="B65:H65"/>
    <mergeCell ref="B66:H6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F41:H41"/>
  </mergeCells>
  <dataValidations>
    <dataValidation type="list" allowBlank="1" showErrorMessage="1" sqref="B23:B24 B54 B65">
      <formula1>METADATA!$I$17:$I$40</formula1>
    </dataValidation>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4.0</v>
      </c>
      <c r="D5" s="21"/>
      <c r="E5" s="21"/>
      <c r="F5" s="21"/>
      <c r="G5" s="22"/>
    </row>
    <row r="6" ht="15.75" customHeight="1">
      <c r="B6" s="43" t="s">
        <v>126</v>
      </c>
      <c r="C6" s="20">
        <f>H10+H21+H44+H68</f>
        <v>100</v>
      </c>
      <c r="D6" s="21"/>
      <c r="E6" s="21"/>
      <c r="F6" s="21"/>
      <c r="G6" s="22"/>
      <c r="I6" s="5"/>
    </row>
    <row r="7" ht="15.75" customHeight="1">
      <c r="B7" s="43" t="s">
        <v>171</v>
      </c>
      <c r="C7" s="20">
        <f>B49+B60</f>
        <v>0</v>
      </c>
      <c r="D7" s="21"/>
      <c r="E7" s="21"/>
      <c r="F7" s="21"/>
      <c r="G7" s="22"/>
    </row>
    <row r="8">
      <c r="B8" s="43" t="s">
        <v>172</v>
      </c>
      <c r="C8" s="44" t="str">
        <f>IF(H10&lt;=0,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10" ht="15.75" customHeight="1">
      <c r="A10" s="45" t="s">
        <v>173</v>
      </c>
      <c r="G10" s="39" t="s">
        <v>129</v>
      </c>
      <c r="H10" s="55">
        <f>B13</f>
        <v>5</v>
      </c>
    </row>
    <row r="11" ht="15.75" customHeight="1">
      <c r="G11" s="28" t="s">
        <v>174</v>
      </c>
    </row>
    <row r="12" ht="15.75" customHeight="1">
      <c r="A12" s="33" t="s">
        <v>175</v>
      </c>
      <c r="B12" s="17" t="s">
        <v>224</v>
      </c>
      <c r="C12" s="78"/>
      <c r="D12" s="78"/>
      <c r="E12" s="78"/>
      <c r="F12" s="78"/>
      <c r="G12" s="78"/>
      <c r="H12" s="79"/>
    </row>
    <row r="13" ht="15.75" customHeight="1">
      <c r="A13" s="35" t="s">
        <v>129</v>
      </c>
      <c r="B13" s="34">
        <v>5.0</v>
      </c>
      <c r="C13" s="21"/>
      <c r="D13" s="21"/>
      <c r="E13" s="21"/>
      <c r="F13" s="21"/>
      <c r="G13" s="21"/>
      <c r="H13" s="22"/>
    </row>
    <row r="14" ht="15.75" customHeight="1">
      <c r="A14" s="54" t="s">
        <v>218</v>
      </c>
      <c r="B14" s="21"/>
      <c r="C14" s="21"/>
      <c r="D14" s="21"/>
      <c r="E14" s="21"/>
      <c r="F14" s="21"/>
      <c r="G14" s="21"/>
      <c r="H14" s="22"/>
    </row>
    <row r="15" ht="15.75" customHeight="1">
      <c r="A15" s="48" t="s">
        <v>225</v>
      </c>
      <c r="B15" s="49"/>
      <c r="C15" s="49"/>
      <c r="D15" s="49"/>
      <c r="E15" s="49"/>
      <c r="F15" s="49"/>
      <c r="G15" s="49"/>
      <c r="H15" s="50"/>
    </row>
    <row r="16" ht="54.75"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226</v>
      </c>
      <c r="B18" s="49"/>
      <c r="C18" s="49"/>
      <c r="D18" s="49"/>
      <c r="E18" s="49"/>
      <c r="F18" s="49"/>
      <c r="G18" s="49"/>
      <c r="H18" s="50"/>
    </row>
    <row r="19" ht="81.75" customHeight="1">
      <c r="A19" s="51"/>
      <c r="B19" s="52"/>
      <c r="C19" s="52"/>
      <c r="D19" s="52"/>
      <c r="E19" s="52"/>
      <c r="F19" s="52"/>
      <c r="G19" s="52"/>
      <c r="H19" s="53"/>
    </row>
    <row r="20" ht="15.75" customHeight="1"/>
    <row r="21" ht="15.75" customHeight="1">
      <c r="A21" s="45" t="s">
        <v>181</v>
      </c>
      <c r="G21" s="39" t="s">
        <v>129</v>
      </c>
      <c r="H21" s="55">
        <f>SUM(D39:H42)</f>
        <v>60</v>
      </c>
      <c r="I21" s="5"/>
    </row>
    <row r="22" ht="15.75" customHeight="1">
      <c r="G22" s="28" t="s">
        <v>182</v>
      </c>
    </row>
    <row r="23" ht="15.75" customHeight="1">
      <c r="A23" s="33" t="s">
        <v>183</v>
      </c>
      <c r="B23" s="34" t="s">
        <v>12</v>
      </c>
      <c r="C23" s="21"/>
      <c r="D23" s="21"/>
      <c r="E23" s="21"/>
      <c r="F23" s="21"/>
      <c r="G23" s="21"/>
      <c r="H23" s="22"/>
    </row>
    <row r="24" ht="15.75" customHeight="1">
      <c r="A24" s="33" t="s">
        <v>183</v>
      </c>
      <c r="B24" s="34" t="s">
        <v>67</v>
      </c>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IFERROR(__xludf.DUMMYFUNCTION("FILTER('Diseño'!D:D,'Diseño'!H:H=$C$5)"),"Primer Parcial Unidad 1 y 2")</f>
        <v>Primer Parcial Unidad 1 y 2</v>
      </c>
      <c r="C28" s="22"/>
      <c r="D28" s="20" t="str">
        <f>IFERROR(__xludf.DUMMYFUNCTION("FILTER('Diseño'!E:E,'Diseño'!H:H=$C$5)"),"Primer Parcial Unidad 1 y 2")</f>
        <v>Primer Parcial Unidad 1 y 2</v>
      </c>
      <c r="E28" s="22"/>
      <c r="F28" s="20" t="str">
        <f>IFERROR(__xludf.DUMMYFUNCTION("FILTER('Diseño'!F:F,'Diseño'!H:H=$C$5)"),"Pasos en la resolución de problemas")</f>
        <v>Pasos en la resolución de problemas</v>
      </c>
      <c r="G28" s="21"/>
      <c r="H28" s="22"/>
    </row>
    <row r="29" ht="15.75" customHeight="1">
      <c r="A29" s="23">
        <v>2.0</v>
      </c>
      <c r="B29" s="20" t="str">
        <f>IFERROR(__xludf.DUMMYFUNCTION("""COMPUTED_VALUE"""),"Primer Parcial Unidad 1 y 2")</f>
        <v>Primer Parcial Unidad 1 y 2</v>
      </c>
      <c r="C29" s="22"/>
      <c r="D29" s="20" t="str">
        <f>IFERROR(__xludf.DUMMYFUNCTION("""COMPUTED_VALUE"""),"Primer Parcial Unidad 1 y 2")</f>
        <v>Primer Parcial Unidad 1 y 2</v>
      </c>
      <c r="E29" s="22"/>
      <c r="F29" s="20" t="str">
        <f>IFERROR(__xludf.DUMMYFUNCTION("""COMPUTED_VALUE"""),"Técnicas para producir ideas")</f>
        <v>Técnicas para producir ideas</v>
      </c>
      <c r="G29" s="21"/>
      <c r="H29" s="22"/>
    </row>
    <row r="30" ht="15.75" customHeight="1">
      <c r="A30" s="23">
        <v>3.0</v>
      </c>
      <c r="B30" s="20" t="str">
        <f>IFERROR(__xludf.DUMMYFUNCTION("""COMPUTED_VALUE"""),"Primer Parcial Unidad 1 y 2")</f>
        <v>Primer Parcial Unidad 1 y 2</v>
      </c>
      <c r="C30" s="22"/>
      <c r="D30" s="20" t="str">
        <f>IFERROR(__xludf.DUMMYFUNCTION("""COMPUTED_VALUE"""),"Primer Parcial Unidad 1 y 2")</f>
        <v>Primer Parcial Unidad 1 y 2</v>
      </c>
      <c r="E30" s="22"/>
      <c r="F30" s="20" t="str">
        <f>IFERROR(__xludf.DUMMYFUNCTION("""COMPUTED_VALUE"""),"Método para ser más eficiente")</f>
        <v>Método para ser más eficiente</v>
      </c>
      <c r="G30" s="21"/>
      <c r="H30" s="22"/>
    </row>
    <row r="31" ht="15.75" customHeight="1">
      <c r="A31" s="23">
        <v>4.0</v>
      </c>
      <c r="B31" s="20" t="str">
        <f>IFERROR(__xludf.DUMMYFUNCTION("""COMPUTED_VALUE"""),"Primer Parcial Unidad 1 y 2")</f>
        <v>Primer Parcial Unidad 1 y 2</v>
      </c>
      <c r="C31" s="22"/>
      <c r="D31" s="20" t="str">
        <f>IFERROR(__xludf.DUMMYFUNCTION("""COMPUTED_VALUE"""),"Primer Parcial Unidad 1 y 2")</f>
        <v>Primer Parcial Unidad 1 y 2</v>
      </c>
      <c r="E31" s="22"/>
      <c r="F31" s="20" t="str">
        <f>IFERROR(__xludf.DUMMYFUNCTION("""COMPUTED_VALUE"""),"Bloqueos mentales")</f>
        <v>Bloqueos mentales</v>
      </c>
      <c r="G31" s="21"/>
      <c r="H31" s="22"/>
    </row>
    <row r="32" ht="15.75" customHeight="1">
      <c r="A32" s="23">
        <v>5.0</v>
      </c>
      <c r="B32" s="20" t="str">
        <f>IFERROR(__xludf.DUMMYFUNCTION("""COMPUTED_VALUE"""),"Primer Parcial Unidad 1 y 2")</f>
        <v>Primer Parcial Unidad 1 y 2</v>
      </c>
      <c r="C32" s="22"/>
      <c r="D32" s="20" t="str">
        <f>IFERROR(__xludf.DUMMYFUNCTION("""COMPUTED_VALUE"""),"Primer Parcial Unidad 1 y 2")</f>
        <v>Primer Parcial Unidad 1 y 2</v>
      </c>
      <c r="E32" s="22"/>
      <c r="F32" s="20" t="str">
        <f>IFERROR(__xludf.DUMMYFUNCTION("""COMPUTED_VALUE"""),"Introducción a la Lógica")</f>
        <v>Introducción a la Lógica</v>
      </c>
      <c r="G32" s="21"/>
      <c r="H32" s="22"/>
    </row>
    <row r="33" ht="15.75" customHeight="1">
      <c r="A33" s="23">
        <v>6.0</v>
      </c>
      <c r="B33" s="20" t="str">
        <f>IFERROR(__xludf.DUMMYFUNCTION("""COMPUTED_VALUE"""),"Primer Parcial Unidad 1 y 2")</f>
        <v>Primer Parcial Unidad 1 y 2</v>
      </c>
      <c r="C33" s="22"/>
      <c r="D33" s="20" t="str">
        <f>IFERROR(__xludf.DUMMYFUNCTION("""COMPUTED_VALUE"""),"Primer Parcial Unidad 1 y 2")</f>
        <v>Primer Parcial Unidad 1 y 2</v>
      </c>
      <c r="E33" s="22"/>
      <c r="F33" s="20" t="str">
        <f>IFERROR(__xludf.DUMMYFUNCTION("""COMPUTED_VALUE"""),"Razonamiento Lógico")</f>
        <v>Razonamiento Lógico</v>
      </c>
      <c r="G33" s="21"/>
      <c r="H33" s="22"/>
    </row>
    <row r="34" ht="15.75" customHeight="1">
      <c r="A34" s="23">
        <v>7.0</v>
      </c>
      <c r="B34" s="20" t="str">
        <f>IFERROR(__xludf.DUMMYFUNCTION("""COMPUTED_VALUE"""),"Primer Parcial Unidad 1 y 2")</f>
        <v>Primer Parcial Unidad 1 y 2</v>
      </c>
      <c r="C34" s="22"/>
      <c r="D34" s="20" t="str">
        <f>IFERROR(__xludf.DUMMYFUNCTION("""COMPUTED_VALUE"""),"Primer Parcial Unidad 1 y 2")</f>
        <v>Primer Parcial Unidad 1 y 2</v>
      </c>
      <c r="E34" s="22"/>
      <c r="F34" s="20" t="str">
        <f>IFERROR(__xludf.DUMMYFUNCTION("""COMPUTED_VALUE"""),"Definición de la Lógica como Ciencia")</f>
        <v>Definición de la Lógica como Ciencia</v>
      </c>
      <c r="G34" s="21"/>
      <c r="H34" s="22"/>
    </row>
    <row r="35" ht="15.75" customHeight="1"/>
    <row r="36" ht="15.75" customHeight="1">
      <c r="A36" s="56" t="s">
        <v>188</v>
      </c>
    </row>
    <row r="37" ht="15.75" customHeight="1">
      <c r="A37" s="5"/>
      <c r="B37" s="5"/>
      <c r="C37" s="5"/>
      <c r="D37" s="5"/>
      <c r="E37" s="5"/>
      <c r="F37" s="5"/>
      <c r="G37" s="5"/>
      <c r="H37" s="5"/>
    </row>
    <row r="38" ht="15.75" customHeight="1">
      <c r="A38" s="57" t="s">
        <v>189</v>
      </c>
      <c r="B38" s="57" t="s">
        <v>190</v>
      </c>
      <c r="C38" s="68" t="s">
        <v>191</v>
      </c>
      <c r="D38" s="69" t="s">
        <v>129</v>
      </c>
      <c r="E38" s="21"/>
      <c r="F38" s="21"/>
      <c r="G38" s="21"/>
      <c r="H38" s="22"/>
    </row>
    <row r="39" ht="15.75" customHeight="1">
      <c r="A39" s="23" t="s">
        <v>192</v>
      </c>
      <c r="B39" s="23" t="s">
        <v>193</v>
      </c>
      <c r="C39" s="62">
        <v>25.0</v>
      </c>
      <c r="D39" s="34">
        <v>25.0</v>
      </c>
      <c r="E39" s="21"/>
      <c r="F39" s="21"/>
      <c r="G39" s="21"/>
      <c r="H39" s="22"/>
    </row>
    <row r="40" ht="15.75" customHeight="1">
      <c r="A40" s="23" t="s">
        <v>195</v>
      </c>
      <c r="B40" s="23" t="s">
        <v>193</v>
      </c>
      <c r="C40" s="62" t="s">
        <v>227</v>
      </c>
      <c r="D40" s="34">
        <v>10.0</v>
      </c>
      <c r="E40" s="21"/>
      <c r="F40" s="21"/>
      <c r="G40" s="21"/>
      <c r="H40" s="22"/>
    </row>
    <row r="41" ht="15.75" customHeight="1">
      <c r="A41" s="23" t="s">
        <v>197</v>
      </c>
      <c r="B41" s="23" t="s">
        <v>198</v>
      </c>
      <c r="C41" s="62">
        <v>0.0</v>
      </c>
      <c r="D41" s="34">
        <v>0.0</v>
      </c>
      <c r="E41" s="21"/>
      <c r="F41" s="21"/>
      <c r="G41" s="21"/>
      <c r="H41" s="22"/>
    </row>
    <row r="42" ht="15.75" customHeight="1">
      <c r="A42" s="23" t="s">
        <v>199</v>
      </c>
      <c r="B42" s="23" t="s">
        <v>193</v>
      </c>
      <c r="C42" s="62">
        <v>25.0</v>
      </c>
      <c r="D42" s="34">
        <v>25.0</v>
      </c>
      <c r="E42" s="21"/>
      <c r="F42" s="21"/>
      <c r="G42" s="21"/>
      <c r="H42" s="22"/>
    </row>
    <row r="43" ht="15.75" customHeight="1"/>
    <row r="44" ht="15.75" customHeight="1">
      <c r="A44" s="45" t="s">
        <v>200</v>
      </c>
      <c r="G44" s="39" t="s">
        <v>129</v>
      </c>
      <c r="H44" s="55">
        <v>30.0</v>
      </c>
    </row>
    <row r="45" ht="15.75" customHeight="1">
      <c r="G45" s="28" t="s">
        <v>201</v>
      </c>
    </row>
    <row r="46" ht="15.75" customHeight="1">
      <c r="A46" s="28" t="s">
        <v>202</v>
      </c>
    </row>
    <row r="47">
      <c r="A47" s="33" t="s">
        <v>203</v>
      </c>
      <c r="B47" s="34" t="s">
        <v>12</v>
      </c>
      <c r="C47" s="21"/>
      <c r="D47" s="21"/>
      <c r="E47" s="21"/>
      <c r="F47" s="21"/>
      <c r="G47" s="21"/>
      <c r="H47" s="22"/>
    </row>
    <row r="48" ht="15.75" customHeight="1">
      <c r="A48" s="33" t="s">
        <v>204</v>
      </c>
      <c r="B48" s="20" t="s">
        <v>205</v>
      </c>
      <c r="C48" s="21"/>
      <c r="D48" s="21"/>
      <c r="E48" s="21"/>
      <c r="F48" s="21"/>
      <c r="G48" s="21"/>
      <c r="H48" s="22"/>
    </row>
    <row r="49" ht="15.75" customHeight="1">
      <c r="A49" s="33" t="s">
        <v>171</v>
      </c>
      <c r="B49" s="70">
        <v>0.0</v>
      </c>
      <c r="C49" s="21"/>
      <c r="D49" s="21"/>
      <c r="E49" s="21"/>
      <c r="F49" s="21"/>
      <c r="G49" s="21"/>
      <c r="H49" s="22"/>
    </row>
    <row r="50" ht="15.75" customHeight="1">
      <c r="A50" s="33" t="s">
        <v>129</v>
      </c>
      <c r="B50" s="20"/>
      <c r="C50" s="21"/>
      <c r="D50" s="21"/>
      <c r="E50" s="21"/>
      <c r="F50" s="21"/>
      <c r="G50" s="21"/>
      <c r="H50" s="22"/>
    </row>
    <row r="51" ht="15.75" customHeight="1">
      <c r="A51" s="71" t="s">
        <v>206</v>
      </c>
      <c r="B51" s="5"/>
      <c r="C51" s="5"/>
      <c r="D51" s="5"/>
      <c r="E51" s="5"/>
      <c r="F51" s="5"/>
      <c r="G51" s="5"/>
      <c r="H51" s="5"/>
    </row>
    <row r="52" ht="15.75" customHeight="1">
      <c r="A52" s="54" t="s">
        <v>207</v>
      </c>
      <c r="B52" s="21"/>
      <c r="C52" s="21"/>
      <c r="D52" s="21"/>
      <c r="E52" s="21"/>
      <c r="F52" s="21"/>
      <c r="G52" s="21"/>
      <c r="H52" s="22"/>
    </row>
    <row r="53" ht="15.75" customHeight="1">
      <c r="A53" s="80" t="s">
        <v>228</v>
      </c>
      <c r="B53" s="81"/>
      <c r="C53" s="81"/>
      <c r="D53" s="81"/>
      <c r="E53" s="81"/>
      <c r="F53" s="81"/>
      <c r="G53" s="81"/>
      <c r="H53" s="82"/>
    </row>
    <row r="54" ht="15.75" customHeight="1">
      <c r="A54" s="83"/>
      <c r="B54" s="5"/>
      <c r="C54" s="5"/>
      <c r="D54" s="5"/>
      <c r="E54" s="5"/>
      <c r="F54" s="5"/>
      <c r="G54" s="5"/>
      <c r="H54" s="84"/>
    </row>
    <row r="55" ht="15.75" customHeight="1">
      <c r="A55" s="85"/>
      <c r="B55" s="86"/>
      <c r="C55" s="86"/>
      <c r="D55" s="86"/>
      <c r="E55" s="86"/>
      <c r="F55" s="86"/>
      <c r="G55" s="86"/>
      <c r="H55" s="87"/>
    </row>
    <row r="56" ht="15.75" customHeight="1"/>
    <row r="57" ht="15.75" customHeight="1">
      <c r="A57" s="28" t="s">
        <v>209</v>
      </c>
    </row>
    <row r="58">
      <c r="A58" s="33" t="s">
        <v>203</v>
      </c>
      <c r="B58" s="20"/>
      <c r="C58" s="21"/>
      <c r="D58" s="21"/>
      <c r="E58" s="21"/>
      <c r="F58" s="21"/>
      <c r="G58" s="21"/>
      <c r="H58" s="22"/>
    </row>
    <row r="59" ht="15.75" customHeight="1">
      <c r="A59" s="33" t="s">
        <v>204</v>
      </c>
      <c r="B59" s="20"/>
      <c r="C59" s="21"/>
      <c r="D59" s="21"/>
      <c r="E59" s="21"/>
      <c r="F59" s="21"/>
      <c r="G59" s="21"/>
      <c r="H59" s="22"/>
    </row>
    <row r="60" ht="15.75" customHeight="1">
      <c r="A60" s="33" t="s">
        <v>171</v>
      </c>
      <c r="B60" s="70"/>
      <c r="C60" s="21"/>
      <c r="D60" s="21"/>
      <c r="E60" s="21"/>
      <c r="F60" s="21"/>
      <c r="G60" s="21"/>
      <c r="H60" s="22"/>
    </row>
    <row r="61" ht="15.75" customHeight="1">
      <c r="A61" s="33" t="s">
        <v>129</v>
      </c>
      <c r="B61" s="70"/>
      <c r="C61" s="21"/>
      <c r="D61" s="21"/>
      <c r="E61" s="21"/>
      <c r="F61" s="21"/>
      <c r="G61" s="21"/>
      <c r="H61" s="22"/>
    </row>
    <row r="62" ht="15.75" customHeight="1">
      <c r="A62" s="74" t="s">
        <v>210</v>
      </c>
      <c r="B62" s="5"/>
      <c r="C62" s="5"/>
      <c r="D62" s="5"/>
      <c r="E62" s="5"/>
      <c r="F62" s="5"/>
      <c r="G62" s="5"/>
      <c r="H62" s="5"/>
    </row>
    <row r="63" ht="15.75" customHeight="1">
      <c r="A63" s="54" t="s">
        <v>207</v>
      </c>
      <c r="B63" s="21"/>
      <c r="C63" s="21"/>
      <c r="D63" s="21"/>
      <c r="E63" s="21"/>
      <c r="F63" s="21"/>
      <c r="G63" s="21"/>
      <c r="H63" s="22"/>
    </row>
    <row r="64" ht="15.75" customHeight="1">
      <c r="A64" s="77"/>
      <c r="B64" s="49"/>
      <c r="C64" s="49"/>
      <c r="D64" s="49"/>
      <c r="E64" s="49"/>
      <c r="F64" s="49"/>
      <c r="G64" s="49"/>
      <c r="H64" s="50"/>
    </row>
    <row r="65" ht="15.75" customHeight="1">
      <c r="A65" s="72"/>
      <c r="H65" s="73"/>
    </row>
    <row r="66" ht="15.75" customHeight="1">
      <c r="A66" s="51"/>
      <c r="B66" s="52"/>
      <c r="C66" s="52"/>
      <c r="D66" s="52"/>
      <c r="E66" s="52"/>
      <c r="F66" s="52"/>
      <c r="G66" s="52"/>
      <c r="H66" s="53"/>
    </row>
    <row r="67" ht="15.75" customHeight="1"/>
    <row r="68" ht="15.75" customHeight="1">
      <c r="A68" s="45" t="s">
        <v>212</v>
      </c>
      <c r="G68" s="39" t="s">
        <v>129</v>
      </c>
      <c r="H68" s="55">
        <v>5.0</v>
      </c>
    </row>
    <row r="69" ht="15.75" customHeight="1">
      <c r="G69" s="28" t="s">
        <v>213</v>
      </c>
    </row>
    <row r="70" ht="15.75" customHeight="1">
      <c r="A70" s="33" t="s">
        <v>129</v>
      </c>
      <c r="B70" s="75">
        <v>5.0</v>
      </c>
      <c r="C70" s="21"/>
      <c r="D70" s="21"/>
      <c r="E70" s="21"/>
      <c r="F70" s="21"/>
      <c r="G70" s="21"/>
      <c r="H70" s="22"/>
    </row>
    <row r="71" ht="15.75" customHeight="1">
      <c r="A71" s="69" t="s">
        <v>214</v>
      </c>
      <c r="B71" s="21"/>
      <c r="C71" s="21"/>
      <c r="D71" s="21"/>
      <c r="E71" s="21"/>
      <c r="F71" s="21"/>
      <c r="G71" s="21"/>
      <c r="H71" s="22"/>
    </row>
    <row r="72" ht="15.75" customHeight="1">
      <c r="A72" s="48" t="s">
        <v>229</v>
      </c>
      <c r="B72" s="49"/>
      <c r="C72" s="49"/>
      <c r="D72" s="49"/>
      <c r="E72" s="49"/>
      <c r="F72" s="49"/>
      <c r="G72" s="49"/>
      <c r="H72" s="50"/>
    </row>
    <row r="73" ht="15.75" customHeight="1">
      <c r="A73" s="51"/>
      <c r="B73" s="52"/>
      <c r="C73" s="52"/>
      <c r="D73" s="52"/>
      <c r="E73" s="52"/>
      <c r="F73" s="52"/>
      <c r="G73" s="52"/>
      <c r="H73" s="53"/>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D34:E34"/>
    <mergeCell ref="D33:E33"/>
    <mergeCell ref="F33:H33"/>
    <mergeCell ref="F34:H34"/>
    <mergeCell ref="D41:H41"/>
    <mergeCell ref="D42:H42"/>
    <mergeCell ref="A52:H52"/>
    <mergeCell ref="B50:H50"/>
    <mergeCell ref="B61:H61"/>
    <mergeCell ref="A72:H73"/>
    <mergeCell ref="A71:H71"/>
    <mergeCell ref="B70:H70"/>
    <mergeCell ref="A68:F68"/>
    <mergeCell ref="A64:H66"/>
    <mergeCell ref="A63:H63"/>
    <mergeCell ref="B48:H48"/>
    <mergeCell ref="B47:H47"/>
    <mergeCell ref="A44:F44"/>
    <mergeCell ref="B33:C33"/>
    <mergeCell ref="B34:C34"/>
    <mergeCell ref="D38:H38"/>
    <mergeCell ref="B60:H60"/>
    <mergeCell ref="B59:H59"/>
    <mergeCell ref="B58:H58"/>
    <mergeCell ref="B49:H49"/>
    <mergeCell ref="D40:H40"/>
    <mergeCell ref="D39:H39"/>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2.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5.0</v>
      </c>
      <c r="D5" s="21"/>
      <c r="E5" s="21"/>
      <c r="F5" s="21"/>
      <c r="G5" s="22"/>
    </row>
    <row r="6" ht="15.75" customHeight="1">
      <c r="B6" s="43" t="s">
        <v>126</v>
      </c>
      <c r="C6" s="20">
        <f>H10+H21+H47+H71</f>
        <v>100</v>
      </c>
      <c r="D6" s="21"/>
      <c r="E6" s="21"/>
      <c r="F6" s="21"/>
      <c r="G6" s="22"/>
      <c r="I6" s="5"/>
    </row>
    <row r="7" ht="15.75" customHeight="1">
      <c r="B7" s="43" t="s">
        <v>171</v>
      </c>
      <c r="C7" s="20">
        <f>B52+B63</f>
        <v>0</v>
      </c>
      <c r="D7" s="21"/>
      <c r="E7" s="21"/>
      <c r="F7" s="21"/>
      <c r="G7" s="22"/>
    </row>
    <row r="8" ht="15.75" customHeight="1">
      <c r="B8" s="43" t="s">
        <v>172</v>
      </c>
      <c r="C8" s="44" t="str">
        <f>IF(H47&lt;=0, "❌ ERROR: La Actividad 1 debe tener un tiempo mayor a 0.", IF(H21&gt;60, "❌ ERROR: El 'Área de Conocimiento' no puede exceder los 60 min.", IF((H10+H21+H47+H71)&lt;100,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46">
        <f>B13</f>
        <v>5</v>
      </c>
    </row>
    <row r="11" ht="15.75" customHeight="1">
      <c r="G11" s="28" t="s">
        <v>174</v>
      </c>
    </row>
    <row r="12" ht="15.75" customHeight="1">
      <c r="A12" s="33" t="s">
        <v>175</v>
      </c>
      <c r="B12" s="34" t="s">
        <v>217</v>
      </c>
      <c r="C12" s="21"/>
      <c r="D12" s="21"/>
      <c r="E12" s="21"/>
      <c r="F12" s="21"/>
      <c r="G12" s="21"/>
      <c r="H12" s="22"/>
    </row>
    <row r="13" ht="15.75" customHeight="1">
      <c r="A13" s="35" t="s">
        <v>129</v>
      </c>
      <c r="B13" s="34">
        <v>5.0</v>
      </c>
      <c r="C13" s="21"/>
      <c r="D13" s="21"/>
      <c r="E13" s="21"/>
      <c r="F13" s="21"/>
      <c r="G13" s="21"/>
      <c r="H13" s="22"/>
    </row>
    <row r="14" ht="15.75" customHeight="1">
      <c r="A14" s="47" t="s">
        <v>177</v>
      </c>
      <c r="B14" s="21"/>
      <c r="C14" s="21"/>
      <c r="D14" s="21"/>
      <c r="E14" s="21"/>
      <c r="F14" s="21"/>
      <c r="G14" s="21"/>
      <c r="H14" s="22"/>
    </row>
    <row r="15" ht="15.75" customHeight="1">
      <c r="A15" s="48" t="s">
        <v>230</v>
      </c>
      <c r="B15" s="49"/>
      <c r="C15" s="49"/>
      <c r="D15" s="49"/>
      <c r="E15" s="49"/>
      <c r="F15" s="49"/>
      <c r="G15" s="49"/>
      <c r="H15" s="50"/>
    </row>
    <row r="16" ht="15.75" customHeight="1">
      <c r="A16" s="51"/>
      <c r="B16" s="52"/>
      <c r="C16" s="52"/>
      <c r="D16" s="52"/>
      <c r="E16" s="52"/>
      <c r="F16" s="52"/>
      <c r="G16" s="52"/>
      <c r="H16" s="53"/>
    </row>
    <row r="17" ht="15.75" customHeight="1">
      <c r="A17" s="54" t="s">
        <v>179</v>
      </c>
      <c r="B17" s="21"/>
      <c r="C17" s="21"/>
      <c r="D17" s="21"/>
      <c r="E17" s="21"/>
      <c r="F17" s="21"/>
      <c r="G17" s="21"/>
      <c r="H17" s="22"/>
    </row>
    <row r="18" ht="15.75" customHeight="1">
      <c r="A18" s="88" t="s">
        <v>231</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181</v>
      </c>
      <c r="G21" s="39" t="s">
        <v>129</v>
      </c>
      <c r="H21" s="46">
        <f>SUM(D42:H45)</f>
        <v>60</v>
      </c>
      <c r="I21" s="5"/>
    </row>
    <row r="22" ht="15.75" customHeight="1">
      <c r="G22" s="28" t="s">
        <v>182</v>
      </c>
    </row>
    <row r="23" ht="15.75" customHeight="1">
      <c r="A23" s="33" t="s">
        <v>183</v>
      </c>
      <c r="B23" s="34" t="s">
        <v>49</v>
      </c>
      <c r="C23" s="21"/>
      <c r="D23" s="21"/>
      <c r="E23" s="21"/>
      <c r="F23" s="21"/>
      <c r="G23" s="21"/>
      <c r="H23" s="22"/>
    </row>
    <row r="24" ht="15.75" customHeight="1">
      <c r="A24" s="33" t="s">
        <v>183</v>
      </c>
      <c r="B24" s="20"/>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IFERROR(__xludf.DUMMYFUNCTION("FILTER('Diseño'!D:D,'Diseño'!H:H=$C$5)"),"Unidad 3: Lógica del Concepto")</f>
        <v>Unidad 3: Lógica del Concepto</v>
      </c>
      <c r="C28" s="22"/>
      <c r="D28" s="20" t="str">
        <f>IFERROR(__xludf.DUMMYFUNCTION("FILTER('Diseño'!E:E,'Diseño'!H:H=$C$5)"),"Concepto")</f>
        <v>Concepto</v>
      </c>
      <c r="E28" s="22"/>
      <c r="F28" s="20" t="str">
        <f>IFERROR(__xludf.DUMMYFUNCTION("FILTER('Diseño'!F:F,'Diseño'!H:H=$C$5)"),"Concepto y realidad")</f>
        <v>Concepto y realidad</v>
      </c>
      <c r="G28" s="21"/>
      <c r="H28" s="22"/>
    </row>
    <row r="29" ht="15.75" customHeight="1">
      <c r="A29" s="23">
        <v>2.0</v>
      </c>
      <c r="B29" s="20" t="str">
        <f>IFERROR(__xludf.DUMMYFUNCTION("""COMPUTED_VALUE"""),"Unidad 3: Lógica del Concepto")</f>
        <v>Unidad 3: Lógica del Concepto</v>
      </c>
      <c r="C29" s="22"/>
      <c r="D29" s="20" t="str">
        <f>IFERROR(__xludf.DUMMYFUNCTION("""COMPUTED_VALUE"""),"Concepto")</f>
        <v>Concepto</v>
      </c>
      <c r="E29" s="22"/>
      <c r="F29" s="20" t="str">
        <f>IFERROR(__xludf.DUMMYFUNCTION("""COMPUTED_VALUE"""),"Objeto")</f>
        <v>Objeto</v>
      </c>
      <c r="G29" s="21"/>
      <c r="H29" s="22"/>
    </row>
    <row r="30" ht="15.75" customHeight="1">
      <c r="A30" s="23">
        <v>3.0</v>
      </c>
      <c r="B30" s="20" t="str">
        <f>IFERROR(__xludf.DUMMYFUNCTION("""COMPUTED_VALUE"""),"Unidad 3: Lógica del Concepto")</f>
        <v>Unidad 3: Lógica del Concepto</v>
      </c>
      <c r="C30" s="22"/>
      <c r="D30" s="20" t="str">
        <f>IFERROR(__xludf.DUMMYFUNCTION("""COMPUTED_VALUE"""),"Concepto")</f>
        <v>Concepto</v>
      </c>
      <c r="E30" s="22"/>
      <c r="F30" s="20" t="str">
        <f>IFERROR(__xludf.DUMMYFUNCTION("""COMPUTED_VALUE"""),"Objetos Como dispositivos de reconocimientoi")</f>
        <v>Objetos Como dispositivos de reconocimientoi</v>
      </c>
      <c r="G30" s="21"/>
      <c r="H30" s="22"/>
    </row>
    <row r="31" ht="15.75" customHeight="1">
      <c r="A31" s="23">
        <v>4.0</v>
      </c>
      <c r="B31" s="20" t="str">
        <f>IFERROR(__xludf.DUMMYFUNCTION("""COMPUTED_VALUE"""),"Unidad 3: Lógica del Concepto")</f>
        <v>Unidad 3: Lógica del Concepto</v>
      </c>
      <c r="C31" s="22"/>
      <c r="D31" s="20" t="str">
        <f>IFERROR(__xludf.DUMMYFUNCTION("""COMPUTED_VALUE"""),"Concepto")</f>
        <v>Concepto</v>
      </c>
      <c r="E31" s="22"/>
      <c r="F31" s="20" t="str">
        <f>IFERROR(__xludf.DUMMYFUNCTION("""COMPUTED_VALUE"""),"Ciclo de vida de un Objeto")</f>
        <v>Ciclo de vida de un Objeto</v>
      </c>
      <c r="G31" s="21"/>
      <c r="H31" s="22"/>
    </row>
    <row r="32" ht="15.75" customHeight="1">
      <c r="A32" s="23">
        <v>5.0</v>
      </c>
      <c r="B32" s="20" t="str">
        <f>IFERROR(__xludf.DUMMYFUNCTION("""COMPUTED_VALUE"""),"Unidad 3: Lógica del Concepto")</f>
        <v>Unidad 3: Lógica del Concepto</v>
      </c>
      <c r="C32" s="22"/>
      <c r="D32" s="20" t="str">
        <f>IFERROR(__xludf.DUMMYFUNCTION("""COMPUTED_VALUE"""),"Concepto")</f>
        <v>Concepto</v>
      </c>
      <c r="E32" s="22"/>
      <c r="F32" s="20" t="str">
        <f>IFERROR(__xludf.DUMMYFUNCTION("""COMPUTED_VALUE"""),"Relaciones de objetos")</f>
        <v>Relaciones de objetos</v>
      </c>
      <c r="G32" s="21"/>
      <c r="H32" s="22"/>
    </row>
    <row r="33" ht="15.75" customHeight="1">
      <c r="A33" s="23">
        <v>6.0</v>
      </c>
      <c r="B33" s="20" t="str">
        <f>IFERROR(__xludf.DUMMYFUNCTION("""COMPUTED_VALUE"""),"Unidad 3: Lógica del Concepto")</f>
        <v>Unidad 3: Lógica del Concepto</v>
      </c>
      <c r="C33" s="22"/>
      <c r="D33" s="20" t="str">
        <f>IFERROR(__xludf.DUMMYFUNCTION("""COMPUTED_VALUE"""),"Concepto")</f>
        <v>Concepto</v>
      </c>
      <c r="E33" s="22"/>
      <c r="F33" s="20" t="str">
        <f>IFERROR(__xludf.DUMMYFUNCTION("""COMPUTED_VALUE"""),"Mapeo")</f>
        <v>Mapeo</v>
      </c>
      <c r="G33" s="21"/>
      <c r="H33" s="22"/>
    </row>
    <row r="34" ht="15.75" customHeight="1">
      <c r="A34" s="23">
        <v>7.0</v>
      </c>
      <c r="B34" s="20" t="str">
        <f>IFERROR(__xludf.DUMMYFUNCTION("""COMPUTED_VALUE"""),"Unidad 3: Lógica del Concepto")</f>
        <v>Unidad 3: Lógica del Concepto</v>
      </c>
      <c r="C34" s="22"/>
      <c r="D34" s="20" t="str">
        <f>IFERROR(__xludf.DUMMYFUNCTION("""COMPUTED_VALUE"""),"Concepto")</f>
        <v>Concepto</v>
      </c>
      <c r="E34" s="22"/>
      <c r="F34" s="20" t="str">
        <f>IFERROR(__xludf.DUMMYFUNCTION("""COMPUTED_VALUE"""),"Relaciones de un Objeto")</f>
        <v>Relaciones de un Objeto</v>
      </c>
      <c r="G34" s="21"/>
      <c r="H34" s="22"/>
    </row>
    <row r="35" ht="15.75" customHeight="1">
      <c r="A35" s="59">
        <v>8.0</v>
      </c>
      <c r="B35" s="60" t="str">
        <f>IFERROR(__xludf.DUMMYFUNCTION("""COMPUTED_VALUE"""),"Unidad 3: Lógica del Concepto")</f>
        <v>Unidad 3: Lógica del Concepto</v>
      </c>
      <c r="C35" s="60"/>
      <c r="D35" s="60" t="str">
        <f>IFERROR(__xludf.DUMMYFUNCTION("""COMPUTED_VALUE"""),"Triada del concepto y Arboles Logicos")</f>
        <v>Triada del concepto y Arboles Logicos</v>
      </c>
      <c r="E35" s="60"/>
      <c r="F35" s="61" t="str">
        <f>IFERROR(__xludf.DUMMYFUNCTION("""COMPUTED_VALUE"""),"Caracteristicas del Concepto")</f>
        <v>Caracteristicas del Concepto</v>
      </c>
      <c r="G35" s="21"/>
      <c r="H35" s="22"/>
    </row>
    <row r="36" ht="15.75" customHeight="1">
      <c r="A36" s="89">
        <v>9.0</v>
      </c>
      <c r="B36" s="60" t="str">
        <f>IFERROR(__xludf.DUMMYFUNCTION("""COMPUTED_VALUE"""),"Unidad 3: Lógica del Concepto")</f>
        <v>Unidad 3: Lógica del Concepto</v>
      </c>
      <c r="C36" s="60"/>
      <c r="D36" s="60" t="str">
        <f>IFERROR(__xludf.DUMMYFUNCTION("""COMPUTED_VALUE"""),"Triada del concepto y Arboles Logicos")</f>
        <v>Triada del concepto y Arboles Logicos</v>
      </c>
      <c r="E36" s="60"/>
      <c r="F36" s="61" t="str">
        <f>IFERROR(__xludf.DUMMYFUNCTION("""COMPUTED_VALUE"""),"La clasificacion de los objetos")</f>
        <v>La clasificacion de los objetos</v>
      </c>
      <c r="G36" s="21"/>
      <c r="H36" s="22"/>
    </row>
    <row r="37" ht="15.75" customHeight="1">
      <c r="A37" s="59">
        <v>10.0</v>
      </c>
      <c r="B37" s="60" t="str">
        <f>IFERROR(__xludf.DUMMYFUNCTION("""COMPUTED_VALUE"""),"Unidad 3: Lógica del Concepto")</f>
        <v>Unidad 3: Lógica del Concepto</v>
      </c>
      <c r="C37" s="60"/>
      <c r="D37" s="60" t="str">
        <f>IFERROR(__xludf.DUMMYFUNCTION("""COMPUTED_VALUE"""),"Triada del concepto y Arboles Logicos")</f>
        <v>Triada del concepto y Arboles Logicos</v>
      </c>
      <c r="E37" s="60"/>
      <c r="F37" s="61" t="str">
        <f>IFERROR(__xludf.DUMMYFUNCTION("""COMPUTED_VALUE"""),"Triadas Parciales")</f>
        <v>Triadas Parciales</v>
      </c>
      <c r="G37" s="21"/>
      <c r="H37" s="22"/>
    </row>
    <row r="38" ht="15.75" customHeight="1">
      <c r="A38" s="62">
        <v>11.0</v>
      </c>
      <c r="B38" s="23" t="str">
        <f>IFERROR(__xludf.DUMMYFUNCTION("""COMPUTED_VALUE"""),"Unidad 3: Lógica del Concepto")</f>
        <v>Unidad 3: Lógica del Concepto</v>
      </c>
      <c r="C38" s="23"/>
      <c r="D38" s="23" t="str">
        <f>IFERROR(__xludf.DUMMYFUNCTION("""COMPUTED_VALUE"""),"Triada del concepto y Arboles Logicos")</f>
        <v>Triada del concepto y Arboles Logicos</v>
      </c>
      <c r="E38" s="23"/>
      <c r="F38" s="20" t="str">
        <f>IFERROR(__xludf.DUMMYFUNCTION("""COMPUTED_VALUE"""),"Sinonimos y Homonimos")</f>
        <v>Sinonimos y Homonimos</v>
      </c>
      <c r="G38" s="21"/>
      <c r="H38" s="22"/>
    </row>
    <row r="39" ht="15.75" customHeight="1">
      <c r="A39" s="5"/>
      <c r="B39" s="5"/>
      <c r="C39" s="5"/>
      <c r="D39" s="5"/>
      <c r="E39" s="5"/>
      <c r="F39" s="5"/>
      <c r="G39" s="5"/>
      <c r="H39" s="5"/>
    </row>
    <row r="40" ht="15.75" customHeight="1">
      <c r="A40" s="56" t="s">
        <v>188</v>
      </c>
      <c r="B40" s="5"/>
      <c r="C40" s="5"/>
      <c r="D40" s="5"/>
      <c r="E40" s="5"/>
      <c r="F40" s="5"/>
      <c r="G40" s="5"/>
      <c r="H40" s="5"/>
    </row>
    <row r="41" ht="15.75" customHeight="1">
      <c r="A41" s="57" t="s">
        <v>189</v>
      </c>
      <c r="B41" s="57" t="s">
        <v>190</v>
      </c>
      <c r="C41" s="68" t="s">
        <v>191</v>
      </c>
      <c r="D41" s="69" t="s">
        <v>129</v>
      </c>
      <c r="E41" s="21"/>
      <c r="F41" s="21"/>
      <c r="G41" s="21"/>
      <c r="H41" s="22"/>
    </row>
    <row r="42" ht="15.75" customHeight="1">
      <c r="A42" s="23" t="s">
        <v>192</v>
      </c>
      <c r="B42" s="23" t="s">
        <v>193</v>
      </c>
      <c r="C42" s="62" t="s">
        <v>232</v>
      </c>
      <c r="D42" s="34">
        <v>25.0</v>
      </c>
      <c r="E42" s="21"/>
      <c r="F42" s="21"/>
      <c r="G42" s="21"/>
      <c r="H42" s="22"/>
    </row>
    <row r="43" ht="15.75" customHeight="1">
      <c r="A43" s="23" t="s">
        <v>195</v>
      </c>
      <c r="B43" s="23" t="s">
        <v>193</v>
      </c>
      <c r="C43" s="62" t="s">
        <v>196</v>
      </c>
      <c r="D43" s="34">
        <v>7.0</v>
      </c>
      <c r="E43" s="21"/>
      <c r="F43" s="21"/>
      <c r="G43" s="21"/>
      <c r="H43" s="22"/>
    </row>
    <row r="44" ht="15.75" customHeight="1">
      <c r="A44" s="23" t="s">
        <v>197</v>
      </c>
      <c r="B44" s="23" t="s">
        <v>198</v>
      </c>
      <c r="C44" s="62" t="s">
        <v>233</v>
      </c>
      <c r="D44" s="34">
        <v>15.0</v>
      </c>
      <c r="E44" s="21"/>
      <c r="F44" s="21"/>
      <c r="G44" s="21"/>
      <c r="H44" s="22"/>
    </row>
    <row r="45" ht="15.75" customHeight="1">
      <c r="A45" s="23" t="s">
        <v>199</v>
      </c>
      <c r="B45" s="23" t="s">
        <v>193</v>
      </c>
      <c r="C45" s="62" t="s">
        <v>234</v>
      </c>
      <c r="D45" s="34">
        <v>13.0</v>
      </c>
      <c r="E45" s="21"/>
      <c r="F45" s="21"/>
      <c r="G45" s="21"/>
      <c r="H45" s="22"/>
    </row>
    <row r="46" ht="15.75" customHeight="1"/>
    <row r="47" ht="15.75" customHeight="1">
      <c r="A47" s="45" t="s">
        <v>200</v>
      </c>
      <c r="G47" s="39" t="s">
        <v>129</v>
      </c>
      <c r="H47" s="46">
        <f>B53</f>
        <v>25</v>
      </c>
    </row>
    <row r="48" ht="15.75" customHeight="1">
      <c r="G48" s="28" t="s">
        <v>201</v>
      </c>
    </row>
    <row r="49" ht="15.75" customHeight="1">
      <c r="A49" s="28" t="s">
        <v>202</v>
      </c>
    </row>
    <row r="50">
      <c r="A50" s="33" t="s">
        <v>203</v>
      </c>
      <c r="B50" s="34" t="s">
        <v>49</v>
      </c>
      <c r="C50" s="21"/>
      <c r="D50" s="21"/>
      <c r="E50" s="21"/>
      <c r="F50" s="21"/>
      <c r="G50" s="21"/>
      <c r="H50" s="22"/>
    </row>
    <row r="51" ht="15.75" customHeight="1">
      <c r="A51" s="33" t="s">
        <v>204</v>
      </c>
      <c r="B51" s="20" t="s">
        <v>205</v>
      </c>
      <c r="C51" s="21"/>
      <c r="D51" s="21"/>
      <c r="E51" s="21"/>
      <c r="F51" s="21"/>
      <c r="G51" s="21"/>
      <c r="H51" s="22"/>
    </row>
    <row r="52" ht="15.75" customHeight="1">
      <c r="A52" s="33" t="s">
        <v>171</v>
      </c>
      <c r="B52" s="70">
        <v>0.0</v>
      </c>
      <c r="C52" s="21"/>
      <c r="D52" s="21"/>
      <c r="E52" s="21"/>
      <c r="F52" s="21"/>
      <c r="G52" s="21"/>
      <c r="H52" s="22"/>
    </row>
    <row r="53" ht="15.75" customHeight="1">
      <c r="A53" s="33" t="s">
        <v>129</v>
      </c>
      <c r="B53" s="34">
        <v>25.0</v>
      </c>
      <c r="C53" s="21"/>
      <c r="D53" s="21"/>
      <c r="E53" s="21"/>
      <c r="F53" s="21"/>
      <c r="G53" s="21"/>
      <c r="H53" s="22"/>
    </row>
    <row r="54" ht="15.75" customHeight="1">
      <c r="A54" s="71" t="s">
        <v>206</v>
      </c>
      <c r="B54" s="5"/>
      <c r="C54" s="5"/>
      <c r="D54" s="5"/>
      <c r="E54" s="5"/>
      <c r="F54" s="5"/>
      <c r="G54" s="5"/>
      <c r="H54" s="5"/>
    </row>
    <row r="55" ht="15.75" customHeight="1">
      <c r="A55" s="54" t="s">
        <v>207</v>
      </c>
      <c r="B55" s="21"/>
      <c r="C55" s="21"/>
      <c r="D55" s="21"/>
      <c r="E55" s="21"/>
      <c r="F55" s="21"/>
      <c r="G55" s="21"/>
      <c r="H55" s="22"/>
    </row>
    <row r="56" ht="15.75" customHeight="1">
      <c r="A56" s="48" t="s">
        <v>235</v>
      </c>
      <c r="B56" s="49"/>
      <c r="C56" s="49"/>
      <c r="D56" s="49"/>
      <c r="E56" s="49"/>
      <c r="F56" s="49"/>
      <c r="G56" s="49"/>
      <c r="H56" s="50"/>
    </row>
    <row r="57" ht="15.75" customHeight="1">
      <c r="A57" s="72"/>
      <c r="H57" s="73"/>
    </row>
    <row r="58" ht="15.75" customHeight="1">
      <c r="A58" s="51"/>
      <c r="B58" s="52"/>
      <c r="C58" s="52"/>
      <c r="D58" s="52"/>
      <c r="E58" s="52"/>
      <c r="F58" s="52"/>
      <c r="G58" s="52"/>
      <c r="H58" s="53"/>
    </row>
    <row r="59" ht="15.75" customHeight="1"/>
    <row r="60" ht="15.75" customHeight="1">
      <c r="A60" s="28" t="s">
        <v>209</v>
      </c>
    </row>
    <row r="61">
      <c r="A61" s="33" t="s">
        <v>203</v>
      </c>
      <c r="B61" s="20"/>
      <c r="C61" s="21"/>
      <c r="D61" s="21"/>
      <c r="E61" s="21"/>
      <c r="F61" s="21"/>
      <c r="G61" s="21"/>
      <c r="H61" s="22"/>
    </row>
    <row r="62" ht="15.75" customHeight="1">
      <c r="A62" s="33" t="s">
        <v>204</v>
      </c>
      <c r="B62" s="20"/>
      <c r="C62" s="21"/>
      <c r="D62" s="21"/>
      <c r="E62" s="21"/>
      <c r="F62" s="21"/>
      <c r="G62" s="21"/>
      <c r="H62" s="22"/>
    </row>
    <row r="63" ht="15.75" customHeight="1">
      <c r="A63" s="33" t="s">
        <v>171</v>
      </c>
      <c r="B63" s="70"/>
      <c r="C63" s="21"/>
      <c r="D63" s="21"/>
      <c r="E63" s="21"/>
      <c r="F63" s="21"/>
      <c r="G63" s="21"/>
      <c r="H63" s="22"/>
    </row>
    <row r="64" ht="15.75" customHeight="1">
      <c r="A64" s="33" t="s">
        <v>129</v>
      </c>
      <c r="B64" s="75">
        <v>20.0</v>
      </c>
      <c r="C64" s="21"/>
      <c r="D64" s="21"/>
      <c r="E64" s="21"/>
      <c r="F64" s="21"/>
      <c r="G64" s="21"/>
      <c r="H64" s="22"/>
    </row>
    <row r="65" ht="15.75" customHeight="1">
      <c r="A65" s="74" t="s">
        <v>210</v>
      </c>
      <c r="B65" s="5"/>
      <c r="C65" s="5"/>
      <c r="D65" s="5"/>
      <c r="E65" s="5"/>
      <c r="F65" s="5"/>
      <c r="G65" s="5"/>
      <c r="H65" s="5"/>
    </row>
    <row r="66" ht="15.75" customHeight="1">
      <c r="A66" s="54" t="s">
        <v>207</v>
      </c>
      <c r="B66" s="21"/>
      <c r="C66" s="21"/>
      <c r="D66" s="21"/>
      <c r="E66" s="21"/>
      <c r="F66" s="21"/>
      <c r="G66" s="21"/>
      <c r="H66" s="22"/>
    </row>
    <row r="67" ht="15.75" customHeight="1">
      <c r="A67" s="77"/>
      <c r="B67" s="49"/>
      <c r="C67" s="49"/>
      <c r="D67" s="49"/>
      <c r="E67" s="49"/>
      <c r="F67" s="49"/>
      <c r="G67" s="49"/>
      <c r="H67" s="50"/>
    </row>
    <row r="68" ht="15.75" customHeight="1">
      <c r="A68" s="72"/>
      <c r="H68" s="73"/>
    </row>
    <row r="69" ht="15.75" customHeight="1">
      <c r="A69" s="51"/>
      <c r="B69" s="52"/>
      <c r="C69" s="52"/>
      <c r="D69" s="52"/>
      <c r="E69" s="52"/>
      <c r="F69" s="52"/>
      <c r="G69" s="52"/>
      <c r="H69" s="53"/>
    </row>
    <row r="70" ht="15.75" customHeight="1"/>
    <row r="71" ht="15.75" customHeight="1">
      <c r="A71" s="45" t="s">
        <v>212</v>
      </c>
      <c r="G71" s="39" t="s">
        <v>129</v>
      </c>
      <c r="H71" s="46">
        <f>B73</f>
        <v>10</v>
      </c>
    </row>
    <row r="72" ht="15.75" customHeight="1">
      <c r="G72" s="28" t="s">
        <v>213</v>
      </c>
    </row>
    <row r="73" ht="15.75" customHeight="1">
      <c r="A73" s="33" t="s">
        <v>129</v>
      </c>
      <c r="B73" s="75">
        <v>10.0</v>
      </c>
      <c r="C73" s="21"/>
      <c r="D73" s="21"/>
      <c r="E73" s="21"/>
      <c r="F73" s="21"/>
      <c r="G73" s="21"/>
      <c r="H73" s="22"/>
    </row>
    <row r="74" ht="15.75" customHeight="1">
      <c r="A74" s="69" t="s">
        <v>214</v>
      </c>
      <c r="B74" s="21"/>
      <c r="C74" s="21"/>
      <c r="D74" s="21"/>
      <c r="E74" s="21"/>
      <c r="F74" s="21"/>
      <c r="G74" s="21"/>
      <c r="H74" s="22"/>
    </row>
    <row r="75" ht="15.75" customHeight="1">
      <c r="A75" s="48" t="s">
        <v>236</v>
      </c>
      <c r="B75" s="49"/>
      <c r="C75" s="49"/>
      <c r="D75" s="49"/>
      <c r="E75" s="49"/>
      <c r="F75" s="49"/>
      <c r="G75" s="49"/>
      <c r="H75" s="50"/>
    </row>
    <row r="76" ht="15.75" customHeight="1">
      <c r="A76" s="51"/>
      <c r="B76" s="52"/>
      <c r="C76" s="52"/>
      <c r="D76" s="52"/>
      <c r="E76" s="52"/>
      <c r="F76" s="52"/>
      <c r="G76" s="52"/>
      <c r="H76" s="53"/>
    </row>
    <row r="77" ht="15.75" customHeight="1">
      <c r="A77" s="28" t="s">
        <v>216</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5">
    <mergeCell ref="D42:H42"/>
    <mergeCell ref="D43:H43"/>
    <mergeCell ref="D44:H44"/>
    <mergeCell ref="D45:H45"/>
    <mergeCell ref="A47:F47"/>
    <mergeCell ref="B50:H50"/>
    <mergeCell ref="B51:H51"/>
    <mergeCell ref="B64:H64"/>
    <mergeCell ref="A66:H66"/>
    <mergeCell ref="A67:H69"/>
    <mergeCell ref="A71:F71"/>
    <mergeCell ref="B73:H73"/>
    <mergeCell ref="A74:H74"/>
    <mergeCell ref="A75:H76"/>
    <mergeCell ref="B52:H52"/>
    <mergeCell ref="B53:H53"/>
    <mergeCell ref="A55:H55"/>
    <mergeCell ref="A56:H58"/>
    <mergeCell ref="B61:H61"/>
    <mergeCell ref="B62:H62"/>
    <mergeCell ref="B63:H6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D41:H41"/>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8.75"/>
    <col customWidth="1" min="8" max="8" width="14.2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6.0</v>
      </c>
      <c r="D5" s="21"/>
      <c r="E5" s="21"/>
      <c r="F5" s="21"/>
      <c r="G5" s="22"/>
    </row>
    <row r="6" ht="15.75" customHeight="1">
      <c r="B6" s="43" t="s">
        <v>126</v>
      </c>
      <c r="C6" s="20">
        <f>H10+H21+H44+H68</f>
        <v>110</v>
      </c>
      <c r="D6" s="21"/>
      <c r="E6" s="21"/>
      <c r="F6" s="21"/>
      <c r="G6" s="22"/>
      <c r="I6" s="5"/>
    </row>
    <row r="7" ht="15.75" customHeight="1">
      <c r="B7" s="43" t="s">
        <v>171</v>
      </c>
      <c r="C7" s="20">
        <f>B49+B60</f>
        <v>0</v>
      </c>
      <c r="D7" s="21"/>
      <c r="E7" s="21"/>
      <c r="F7" s="21"/>
      <c r="G7" s="22"/>
    </row>
    <row r="8" ht="15.75" customHeight="1">
      <c r="B8" s="43" t="s">
        <v>172</v>
      </c>
      <c r="C8" s="44"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55">
        <v>5.0</v>
      </c>
    </row>
    <row r="11" ht="15.75" customHeight="1">
      <c r="G11" s="28" t="s">
        <v>174</v>
      </c>
    </row>
    <row r="12" ht="15.75" customHeight="1">
      <c r="A12" s="33" t="s">
        <v>175</v>
      </c>
      <c r="B12" s="34" t="s">
        <v>237</v>
      </c>
      <c r="C12" s="21"/>
      <c r="D12" s="21"/>
      <c r="E12" s="21"/>
      <c r="F12" s="21"/>
      <c r="G12" s="21"/>
      <c r="H12" s="22"/>
    </row>
    <row r="13" ht="15.75" customHeight="1">
      <c r="A13" s="35" t="s">
        <v>129</v>
      </c>
      <c r="B13" s="34">
        <v>5.0</v>
      </c>
      <c r="C13" s="21"/>
      <c r="D13" s="21"/>
      <c r="E13" s="21"/>
      <c r="F13" s="21"/>
      <c r="G13" s="21"/>
      <c r="H13" s="22"/>
    </row>
    <row r="14" ht="15.75" customHeight="1">
      <c r="A14" s="54" t="s">
        <v>218</v>
      </c>
      <c r="B14" s="21"/>
      <c r="C14" s="21"/>
      <c r="D14" s="21"/>
      <c r="E14" s="21"/>
      <c r="F14" s="21"/>
      <c r="G14" s="21"/>
      <c r="H14" s="22"/>
    </row>
    <row r="15" ht="15.75" customHeight="1">
      <c r="A15" s="48" t="s">
        <v>238</v>
      </c>
      <c r="B15" s="49"/>
      <c r="C15" s="49"/>
      <c r="D15" s="49"/>
      <c r="E15" s="49"/>
      <c r="F15" s="49"/>
      <c r="G15" s="49"/>
      <c r="H15" s="50"/>
    </row>
    <row r="16" ht="15.75"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239</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181</v>
      </c>
      <c r="G21" s="39" t="s">
        <v>129</v>
      </c>
      <c r="H21" s="55">
        <v>60.0</v>
      </c>
      <c r="I21" s="5"/>
    </row>
    <row r="22" ht="15.75" customHeight="1">
      <c r="G22" s="28" t="s">
        <v>182</v>
      </c>
    </row>
    <row r="23" ht="15.75" customHeight="1">
      <c r="A23" s="33" t="s">
        <v>183</v>
      </c>
      <c r="B23" s="34" t="s">
        <v>67</v>
      </c>
      <c r="C23" s="21"/>
      <c r="D23" s="21"/>
      <c r="E23" s="21"/>
      <c r="F23" s="21"/>
      <c r="G23" s="21"/>
      <c r="H23" s="22"/>
    </row>
    <row r="24" ht="15.75" customHeight="1">
      <c r="A24" s="33" t="s">
        <v>183</v>
      </c>
      <c r="B24" s="20"/>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IFERROR(__xludf.DUMMYFUNCTION("FILTER('Diseño'!D:D,'Diseño'!H:H=$C$5)"),"Unidad 3: Lógica del Concepto")</f>
        <v>Unidad 3: Lógica del Concepto</v>
      </c>
      <c r="C28" s="22"/>
      <c r="D28" s="20" t="str">
        <f>IFERROR(__xludf.DUMMYFUNCTION("FILTER('Diseño'!E:E,'Diseño'!H:H=$C$5)"),"Triada del concepto y Arboles Logicos")</f>
        <v>Triada del concepto y Arboles Logicos</v>
      </c>
      <c r="E28" s="22"/>
      <c r="F28" s="20" t="str">
        <f>IFERROR(__xludf.DUMMYFUNCTION("FILTER('Diseño'!F:F,'Diseño'!H:H=$C$5)"),"Arboles Logicos")</f>
        <v>Arboles Logicos</v>
      </c>
      <c r="G28" s="21"/>
      <c r="H28" s="22"/>
    </row>
    <row r="29" ht="15.75" customHeight="1">
      <c r="A29" s="23">
        <v>2.0</v>
      </c>
      <c r="B29" s="20" t="str">
        <f>IFERROR(__xludf.DUMMYFUNCTION("""COMPUTED_VALUE"""),"Unidad 3: Lógica del Concepto")</f>
        <v>Unidad 3: Lógica del Concepto</v>
      </c>
      <c r="C29" s="22"/>
      <c r="D29" s="20" t="str">
        <f>IFERROR(__xludf.DUMMYFUNCTION("""COMPUTED_VALUE"""),"Triada del concepto y Arboles Logicos")</f>
        <v>Triada del concepto y Arboles Logicos</v>
      </c>
      <c r="E29" s="22"/>
      <c r="F29" s="20" t="str">
        <f>IFERROR(__xludf.DUMMYFUNCTION("""COMPUTED_VALUE"""),"el arbol como esquema mental")</f>
        <v>el arbol como esquema mental</v>
      </c>
      <c r="G29" s="21"/>
      <c r="H29" s="22"/>
    </row>
    <row r="30" ht="15.75" customHeight="1">
      <c r="A30" s="23">
        <v>3.0</v>
      </c>
      <c r="B30" s="20" t="str">
        <f>IFERROR(__xludf.DUMMYFUNCTION("""COMPUTED_VALUE"""),"Unidad 4: El lenguaje y la Lógica de las proposiciones")</f>
        <v>Unidad 4: El lenguaje y la Lógica de las proposiciones</v>
      </c>
      <c r="C30" s="22"/>
      <c r="D30" s="20" t="str">
        <f>IFERROR(__xludf.DUMMYFUNCTION("""COMPUTED_VALUE"""),"Logica de las proposiciones y logica Matematica")</f>
        <v>Logica de las proposiciones y logica Matematica</v>
      </c>
      <c r="E30" s="22"/>
      <c r="F30" s="20" t="str">
        <f>IFERROR(__xludf.DUMMYFUNCTION("""COMPUTED_VALUE"""),"Definicion de las preposiciones")</f>
        <v>Definicion de las preposiciones</v>
      </c>
      <c r="G30" s="21"/>
      <c r="H30" s="22"/>
    </row>
    <row r="31" ht="15.75" customHeight="1">
      <c r="A31" s="23">
        <v>4.0</v>
      </c>
      <c r="B31" s="20" t="str">
        <f>IFERROR(__xludf.DUMMYFUNCTION("""COMPUTED_VALUE"""),"Unidad 4: El lenguaje y la Lógica de las proposiciones")</f>
        <v>Unidad 4: El lenguaje y la Lógica de las proposiciones</v>
      </c>
      <c r="C31" s="22"/>
      <c r="D31" s="20" t="str">
        <f>IFERROR(__xludf.DUMMYFUNCTION("""COMPUTED_VALUE"""),"Logica de las proposiciones y logica Matematica")</f>
        <v>Logica de las proposiciones y logica Matematica</v>
      </c>
      <c r="E31" s="22"/>
      <c r="F31" s="20" t="str">
        <f>IFERROR(__xludf.DUMMYFUNCTION("""COMPUTED_VALUE"""),"Clasificacion de las proposiciones")</f>
        <v>Clasificacion de las proposiciones</v>
      </c>
      <c r="G31" s="21"/>
      <c r="H31" s="22"/>
    </row>
    <row r="32" ht="15.75" customHeight="1">
      <c r="A32" s="23">
        <v>5.0</v>
      </c>
      <c r="B32" s="20" t="str">
        <f>IFERROR(__xludf.DUMMYFUNCTION("""COMPUTED_VALUE"""),"Unidad 4: El lenguaje y la Lógica de las proposiciones")</f>
        <v>Unidad 4: El lenguaje y la Lógica de las proposiciones</v>
      </c>
      <c r="C32" s="22"/>
      <c r="D32" s="20" t="str">
        <f>IFERROR(__xludf.DUMMYFUNCTION("""COMPUTED_VALUE"""),"Logica de las proposiciones y logica Matematica")</f>
        <v>Logica de las proposiciones y logica Matematica</v>
      </c>
      <c r="E32" s="22"/>
      <c r="F32" s="20" t="str">
        <f>IFERROR(__xludf.DUMMYFUNCTION("""COMPUTED_VALUE"""),"Simbolizacion de las proposiciones")</f>
        <v>Simbolizacion de las proposiciones</v>
      </c>
      <c r="G32" s="21"/>
      <c r="H32" s="22"/>
    </row>
    <row r="33" ht="15.75" customHeight="1">
      <c r="A33" s="23">
        <v>6.0</v>
      </c>
      <c r="B33" s="20" t="str">
        <f>IFERROR(__xludf.DUMMYFUNCTION("""COMPUTED_VALUE"""),"Unidad 4: El lenguaje y la Lógica de las proposiciones")</f>
        <v>Unidad 4: El lenguaje y la Lógica de las proposiciones</v>
      </c>
      <c r="C33" s="22"/>
      <c r="D33" s="20" t="str">
        <f>IFERROR(__xludf.DUMMYFUNCTION("""COMPUTED_VALUE"""),"Logica de las proposiciones y logica Matematica")</f>
        <v>Logica de las proposiciones y logica Matematica</v>
      </c>
      <c r="E33" s="22"/>
      <c r="F33" s="20" t="str">
        <f>IFERROR(__xludf.DUMMYFUNCTION("""COMPUTED_VALUE"""),"Diagrama del arbol")</f>
        <v>Diagrama del arbol</v>
      </c>
      <c r="G33" s="21"/>
      <c r="H33" s="22"/>
    </row>
    <row r="34" ht="15.75" customHeight="1">
      <c r="A34" s="23">
        <v>7.0</v>
      </c>
      <c r="B34" s="20" t="str">
        <f>IFERROR(__xludf.DUMMYFUNCTION("""COMPUTED_VALUE"""),"Unidad 4: El lenguaje y la Lógica de las proposiciones")</f>
        <v>Unidad 4: El lenguaje y la Lógica de las proposiciones</v>
      </c>
      <c r="C34" s="22"/>
      <c r="D34" s="20" t="str">
        <f>IFERROR(__xludf.DUMMYFUNCTION("""COMPUTED_VALUE"""),"Logica de las proposiciones y logica Matematica")</f>
        <v>Logica de las proposiciones y logica Matematica</v>
      </c>
      <c r="E34" s="22"/>
      <c r="F34" s="20" t="str">
        <f>IFERROR(__xludf.DUMMYFUNCTION("""COMPUTED_VALUE"""),"Operaciones logicas")</f>
        <v>Operaciones logicas</v>
      </c>
      <c r="G34" s="21"/>
      <c r="H34" s="22"/>
    </row>
    <row r="35" ht="15.75" customHeight="1">
      <c r="B35" s="10" t="str">
        <f>IFERROR(__xludf.DUMMYFUNCTION("""COMPUTED_VALUE"""),"Unidad 4: El lenguaje y la Lógica de las proposiciones")</f>
        <v>Unidad 4: El lenguaje y la Lógica de las proposiciones</v>
      </c>
      <c r="D35" s="10" t="str">
        <f>IFERROR(__xludf.DUMMYFUNCTION("""COMPUTED_VALUE"""),"Logica de las proposiciones y logica Matematica")</f>
        <v>Logica de las proposiciones y logica Matematica</v>
      </c>
      <c r="F35" s="10" t="str">
        <f>IFERROR(__xludf.DUMMYFUNCTION("""COMPUTED_VALUE"""),"Clasificacion de las operaciones logicas")</f>
        <v>Clasificacion de las operaciones logicas</v>
      </c>
    </row>
    <row r="36" ht="15.75" customHeight="1">
      <c r="A36" s="56" t="s">
        <v>188</v>
      </c>
      <c r="B36" s="10" t="str">
        <f>IFERROR(__xludf.DUMMYFUNCTION("""COMPUTED_VALUE"""),"Unidad 4: El lenguaje y la Lógica de las proposiciones")</f>
        <v>Unidad 4: El lenguaje y la Lógica de las proposiciones</v>
      </c>
      <c r="D36" s="10" t="str">
        <f>IFERROR(__xludf.DUMMYFUNCTION("""COMPUTED_VALUE"""),"Logica de las proposiciones y logica Matematica")</f>
        <v>Logica de las proposiciones y logica Matematica</v>
      </c>
      <c r="F36" s="10" t="str">
        <f>IFERROR(__xludf.DUMMYFUNCTION("""COMPUTED_VALUE"""),"Tablas de verdad")</f>
        <v>Tablas de verdad</v>
      </c>
    </row>
    <row r="37" ht="15.75" customHeight="1">
      <c r="A37" s="5"/>
      <c r="B37" s="5"/>
      <c r="C37" s="5"/>
      <c r="D37" s="5"/>
      <c r="E37" s="5"/>
      <c r="F37" s="5"/>
      <c r="G37" s="5"/>
      <c r="H37" s="5"/>
    </row>
    <row r="38" ht="15.75" customHeight="1">
      <c r="A38" s="57" t="s">
        <v>189</v>
      </c>
      <c r="B38" s="57" t="s">
        <v>190</v>
      </c>
      <c r="C38" s="68" t="s">
        <v>191</v>
      </c>
      <c r="D38" s="69" t="s">
        <v>129</v>
      </c>
      <c r="E38" s="21"/>
      <c r="F38" s="21"/>
      <c r="G38" s="21"/>
      <c r="H38" s="22"/>
    </row>
    <row r="39" ht="15.75" customHeight="1">
      <c r="A39" s="23" t="s">
        <v>192</v>
      </c>
      <c r="B39" s="23" t="s">
        <v>193</v>
      </c>
      <c r="C39" s="90" t="s">
        <v>221</v>
      </c>
      <c r="D39" s="91">
        <v>30.0</v>
      </c>
      <c r="E39" s="21"/>
      <c r="F39" s="21"/>
      <c r="G39" s="21"/>
      <c r="H39" s="22"/>
    </row>
    <row r="40" ht="15.75" customHeight="1">
      <c r="A40" s="23" t="s">
        <v>195</v>
      </c>
      <c r="B40" s="23" t="s">
        <v>193</v>
      </c>
      <c r="C40" s="90" t="s">
        <v>222</v>
      </c>
      <c r="D40" s="91">
        <v>10.0</v>
      </c>
      <c r="E40" s="21"/>
      <c r="F40" s="21"/>
      <c r="G40" s="21"/>
      <c r="H40" s="22"/>
    </row>
    <row r="41" ht="15.75" customHeight="1">
      <c r="A41" s="23" t="s">
        <v>197</v>
      </c>
      <c r="B41" s="23" t="s">
        <v>198</v>
      </c>
      <c r="C41" s="90" t="s">
        <v>196</v>
      </c>
      <c r="D41" s="91">
        <v>10.0</v>
      </c>
      <c r="E41" s="21"/>
      <c r="F41" s="21"/>
      <c r="G41" s="21"/>
      <c r="H41" s="22"/>
    </row>
    <row r="42" ht="15.75" customHeight="1">
      <c r="A42" s="23" t="s">
        <v>199</v>
      </c>
      <c r="B42" s="23" t="s">
        <v>193</v>
      </c>
      <c r="C42" s="90" t="s">
        <v>196</v>
      </c>
      <c r="D42" s="91">
        <v>10.0</v>
      </c>
      <c r="E42" s="21"/>
      <c r="F42" s="21"/>
      <c r="G42" s="21"/>
      <c r="H42" s="22"/>
    </row>
    <row r="43" ht="15.75" customHeight="1"/>
    <row r="44" ht="15.75" customHeight="1">
      <c r="A44" s="45" t="s">
        <v>200</v>
      </c>
      <c r="G44" s="39" t="s">
        <v>129</v>
      </c>
      <c r="H44" s="55">
        <v>35.0</v>
      </c>
    </row>
    <row r="45" ht="15.75" customHeight="1">
      <c r="G45" s="28" t="s">
        <v>201</v>
      </c>
    </row>
    <row r="46" ht="15.75" customHeight="1">
      <c r="A46" s="28" t="s">
        <v>202</v>
      </c>
    </row>
    <row r="47">
      <c r="A47" s="33" t="s">
        <v>203</v>
      </c>
      <c r="B47" s="34" t="s">
        <v>67</v>
      </c>
      <c r="C47" s="21"/>
      <c r="D47" s="21"/>
      <c r="E47" s="21"/>
      <c r="F47" s="21"/>
      <c r="G47" s="21"/>
      <c r="H47" s="22"/>
    </row>
    <row r="48" ht="15.75" customHeight="1">
      <c r="A48" s="33" t="s">
        <v>204</v>
      </c>
      <c r="B48" s="20" t="s">
        <v>205</v>
      </c>
      <c r="C48" s="21"/>
      <c r="D48" s="21"/>
      <c r="E48" s="21"/>
      <c r="F48" s="21"/>
      <c r="G48" s="21"/>
      <c r="H48" s="22"/>
    </row>
    <row r="49" ht="15.75" customHeight="1">
      <c r="A49" s="33" t="s">
        <v>171</v>
      </c>
      <c r="B49" s="70">
        <v>0.0</v>
      </c>
      <c r="C49" s="21"/>
      <c r="D49" s="21"/>
      <c r="E49" s="21"/>
      <c r="F49" s="21"/>
      <c r="G49" s="21"/>
      <c r="H49" s="22"/>
    </row>
    <row r="50" ht="15.75" customHeight="1">
      <c r="A50" s="33" t="s">
        <v>129</v>
      </c>
      <c r="B50" s="34">
        <v>25.0</v>
      </c>
      <c r="C50" s="21"/>
      <c r="D50" s="21"/>
      <c r="E50" s="21"/>
      <c r="F50" s="21"/>
      <c r="G50" s="21"/>
      <c r="H50" s="22"/>
    </row>
    <row r="51" ht="15.75" customHeight="1">
      <c r="A51" s="71" t="s">
        <v>206</v>
      </c>
      <c r="B51" s="5"/>
      <c r="C51" s="5"/>
      <c r="D51" s="5"/>
      <c r="E51" s="5"/>
      <c r="F51" s="5"/>
      <c r="G51" s="5"/>
      <c r="H51" s="5"/>
    </row>
    <row r="52" ht="15.75" customHeight="1">
      <c r="A52" s="54" t="s">
        <v>207</v>
      </c>
      <c r="B52" s="21"/>
      <c r="C52" s="21"/>
      <c r="D52" s="21"/>
      <c r="E52" s="21"/>
      <c r="F52" s="21"/>
      <c r="G52" s="21"/>
      <c r="H52" s="22"/>
    </row>
    <row r="53" ht="15.75" customHeight="1">
      <c r="A53" s="48" t="s">
        <v>240</v>
      </c>
      <c r="B53" s="49"/>
      <c r="C53" s="49"/>
      <c r="D53" s="49"/>
      <c r="E53" s="49"/>
      <c r="F53" s="49"/>
      <c r="G53" s="49"/>
      <c r="H53" s="50"/>
    </row>
    <row r="54" ht="15.75" customHeight="1">
      <c r="A54" s="72"/>
      <c r="H54" s="73"/>
    </row>
    <row r="55" ht="15.75" customHeight="1">
      <c r="A55" s="51"/>
      <c r="B55" s="52"/>
      <c r="C55" s="52"/>
      <c r="D55" s="52"/>
      <c r="E55" s="52"/>
      <c r="F55" s="52"/>
      <c r="G55" s="52"/>
      <c r="H55" s="53"/>
    </row>
    <row r="56" ht="15.75" customHeight="1"/>
    <row r="57" ht="15.75" customHeight="1">
      <c r="A57" s="28" t="s">
        <v>209</v>
      </c>
    </row>
    <row r="58">
      <c r="A58" s="33" t="s">
        <v>203</v>
      </c>
      <c r="B58" s="34" t="s">
        <v>67</v>
      </c>
      <c r="C58" s="21"/>
      <c r="D58" s="21"/>
      <c r="E58" s="21"/>
      <c r="F58" s="21"/>
      <c r="G58" s="21"/>
      <c r="H58" s="22"/>
    </row>
    <row r="59" ht="15.75" customHeight="1">
      <c r="A59" s="33" t="s">
        <v>204</v>
      </c>
      <c r="B59" s="20"/>
      <c r="C59" s="21"/>
      <c r="D59" s="21"/>
      <c r="E59" s="21"/>
      <c r="F59" s="21"/>
      <c r="G59" s="21"/>
      <c r="H59" s="22"/>
    </row>
    <row r="60" ht="15.75" customHeight="1">
      <c r="A60" s="33" t="s">
        <v>171</v>
      </c>
      <c r="B60" s="70"/>
      <c r="C60" s="21"/>
      <c r="D60" s="21"/>
      <c r="E60" s="21"/>
      <c r="F60" s="21"/>
      <c r="G60" s="21"/>
      <c r="H60" s="22"/>
    </row>
    <row r="61" ht="15.75" customHeight="1">
      <c r="A61" s="33" t="s">
        <v>129</v>
      </c>
      <c r="B61" s="70"/>
      <c r="C61" s="21"/>
      <c r="D61" s="21"/>
      <c r="E61" s="21"/>
      <c r="F61" s="21"/>
      <c r="G61" s="21"/>
      <c r="H61" s="22"/>
    </row>
    <row r="62" ht="15.75" customHeight="1">
      <c r="A62" s="74" t="s">
        <v>210</v>
      </c>
      <c r="B62" s="5"/>
      <c r="C62" s="5"/>
      <c r="D62" s="5"/>
      <c r="E62" s="5"/>
      <c r="F62" s="5"/>
      <c r="G62" s="5"/>
      <c r="H62" s="5"/>
    </row>
    <row r="63" ht="15.75" customHeight="1">
      <c r="A63" s="54" t="s">
        <v>207</v>
      </c>
      <c r="B63" s="21"/>
      <c r="C63" s="21"/>
      <c r="D63" s="21"/>
      <c r="E63" s="21"/>
      <c r="F63" s="21"/>
      <c r="G63" s="21"/>
      <c r="H63" s="22"/>
    </row>
    <row r="64" ht="15.75" customHeight="1">
      <c r="A64" s="77"/>
      <c r="B64" s="49"/>
      <c r="C64" s="49"/>
      <c r="D64" s="49"/>
      <c r="E64" s="49"/>
      <c r="F64" s="49"/>
      <c r="G64" s="49"/>
      <c r="H64" s="50"/>
    </row>
    <row r="65" ht="15.75" customHeight="1">
      <c r="A65" s="72"/>
      <c r="H65" s="73"/>
    </row>
    <row r="66" ht="15.75" customHeight="1">
      <c r="A66" s="51"/>
      <c r="B66" s="52"/>
      <c r="C66" s="52"/>
      <c r="D66" s="52"/>
      <c r="E66" s="52"/>
      <c r="F66" s="52"/>
      <c r="G66" s="52"/>
      <c r="H66" s="53"/>
    </row>
    <row r="67" ht="15.75" customHeight="1"/>
    <row r="68" ht="15.75" customHeight="1">
      <c r="A68" s="45" t="s">
        <v>212</v>
      </c>
      <c r="G68" s="39" t="s">
        <v>129</v>
      </c>
      <c r="H68" s="55">
        <v>10.0</v>
      </c>
    </row>
    <row r="69" ht="15.75" customHeight="1">
      <c r="G69" s="28" t="s">
        <v>213</v>
      </c>
    </row>
    <row r="70" ht="15.75" customHeight="1">
      <c r="A70" s="33" t="s">
        <v>129</v>
      </c>
      <c r="B70" s="75">
        <v>10.0</v>
      </c>
      <c r="C70" s="21"/>
      <c r="D70" s="21"/>
      <c r="E70" s="21"/>
      <c r="F70" s="21"/>
      <c r="G70" s="21"/>
      <c r="H70" s="22"/>
    </row>
    <row r="71" ht="15.75" customHeight="1">
      <c r="A71" s="69" t="s">
        <v>214</v>
      </c>
      <c r="B71" s="21"/>
      <c r="C71" s="21"/>
      <c r="D71" s="21"/>
      <c r="E71" s="21"/>
      <c r="F71" s="21"/>
      <c r="G71" s="21"/>
      <c r="H71" s="22"/>
    </row>
    <row r="72" ht="15.75" customHeight="1">
      <c r="A72" s="92" t="s">
        <v>236</v>
      </c>
      <c r="B72" s="49"/>
      <c r="C72" s="49"/>
      <c r="D72" s="49"/>
      <c r="E72" s="49"/>
      <c r="F72" s="49"/>
      <c r="G72" s="49"/>
      <c r="H72" s="50"/>
    </row>
    <row r="73" ht="15.75" customHeight="1">
      <c r="A73" s="51"/>
      <c r="B73" s="52"/>
      <c r="C73" s="52"/>
      <c r="D73" s="52"/>
      <c r="E73" s="52"/>
      <c r="F73" s="52"/>
      <c r="G73" s="52"/>
      <c r="H73" s="53"/>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7.0</v>
      </c>
      <c r="D5" s="21"/>
      <c r="E5" s="21"/>
      <c r="F5" s="21"/>
      <c r="G5" s="22"/>
    </row>
    <row r="6" ht="15.75" customHeight="1">
      <c r="B6" s="43" t="s">
        <v>126</v>
      </c>
      <c r="C6" s="20">
        <f>H10+H21+H44+H68</f>
        <v>100</v>
      </c>
      <c r="D6" s="21"/>
      <c r="E6" s="21"/>
      <c r="F6" s="21"/>
      <c r="G6" s="22"/>
      <c r="I6" s="5"/>
    </row>
    <row r="7" ht="15.75" customHeight="1">
      <c r="B7" s="43" t="s">
        <v>171</v>
      </c>
      <c r="C7" s="20">
        <f>B49+B60</f>
        <v>0</v>
      </c>
      <c r="D7" s="21"/>
      <c r="E7" s="21"/>
      <c r="F7" s="21"/>
      <c r="G7" s="22"/>
    </row>
    <row r="8" ht="15.75" customHeight="1">
      <c r="B8" s="43" t="s">
        <v>172</v>
      </c>
      <c r="C8" s="44"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46">
        <f>B13</f>
        <v>5</v>
      </c>
    </row>
    <row r="11" ht="15.75" customHeight="1">
      <c r="G11" s="28" t="s">
        <v>174</v>
      </c>
    </row>
    <row r="12" ht="15.75" customHeight="1">
      <c r="A12" s="33" t="s">
        <v>175</v>
      </c>
      <c r="B12" s="17" t="s">
        <v>241</v>
      </c>
      <c r="C12" s="78"/>
      <c r="D12" s="78"/>
      <c r="E12" s="78"/>
      <c r="F12" s="78"/>
      <c r="G12" s="78"/>
      <c r="H12" s="79"/>
    </row>
    <row r="13" ht="15.75" customHeight="1">
      <c r="A13" s="35" t="s">
        <v>129</v>
      </c>
      <c r="B13" s="34">
        <v>5.0</v>
      </c>
      <c r="C13" s="21"/>
      <c r="D13" s="21"/>
      <c r="E13" s="21"/>
      <c r="F13" s="21"/>
      <c r="G13" s="21"/>
      <c r="H13" s="22"/>
    </row>
    <row r="14" ht="15.75" customHeight="1">
      <c r="A14" s="54" t="s">
        <v>218</v>
      </c>
      <c r="B14" s="21"/>
      <c r="C14" s="21"/>
      <c r="D14" s="21"/>
      <c r="E14" s="21"/>
      <c r="F14" s="21"/>
      <c r="G14" s="21"/>
      <c r="H14" s="22"/>
    </row>
    <row r="15" ht="15.75" customHeight="1">
      <c r="A15" s="48" t="s">
        <v>242</v>
      </c>
      <c r="B15" s="49"/>
      <c r="C15" s="49"/>
      <c r="D15" s="49"/>
      <c r="E15" s="49"/>
      <c r="F15" s="49"/>
      <c r="G15" s="49"/>
      <c r="H15" s="50"/>
    </row>
    <row r="16" ht="60.75"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243</v>
      </c>
      <c r="B18" s="49"/>
      <c r="C18" s="49"/>
      <c r="D18" s="49"/>
      <c r="E18" s="49"/>
      <c r="F18" s="49"/>
      <c r="G18" s="49"/>
      <c r="H18" s="50"/>
    </row>
    <row r="19" ht="61.5" customHeight="1">
      <c r="A19" s="51"/>
      <c r="B19" s="52"/>
      <c r="C19" s="52"/>
      <c r="D19" s="52"/>
      <c r="E19" s="52"/>
      <c r="F19" s="52"/>
      <c r="G19" s="52"/>
      <c r="H19" s="53"/>
    </row>
    <row r="20" ht="15.75" customHeight="1"/>
    <row r="21" ht="15.75" customHeight="1">
      <c r="A21" s="45" t="s">
        <v>181</v>
      </c>
      <c r="G21" s="39" t="s">
        <v>129</v>
      </c>
      <c r="H21" s="46">
        <f>SUM(D39:H42)</f>
        <v>60</v>
      </c>
      <c r="I21" s="5"/>
    </row>
    <row r="22" ht="15.75" customHeight="1">
      <c r="G22" s="28" t="s">
        <v>182</v>
      </c>
    </row>
    <row r="23" ht="15.75" customHeight="1">
      <c r="A23" s="33" t="s">
        <v>183</v>
      </c>
      <c r="B23" s="34" t="s">
        <v>33</v>
      </c>
      <c r="C23" s="21"/>
      <c r="D23" s="21"/>
      <c r="E23" s="21"/>
      <c r="F23" s="21"/>
      <c r="G23" s="21"/>
      <c r="H23" s="22"/>
    </row>
    <row r="24" ht="15.75" customHeight="1">
      <c r="A24" s="33" t="s">
        <v>183</v>
      </c>
      <c r="B24" s="34" t="s">
        <v>67</v>
      </c>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IFERROR(__xludf.DUMMYFUNCTION("FILTER('Diseño'!D:D,'Diseño'!H:H=$C$5)"),"Unidad 4: El lenguaje y la Lógica de las proposiciones")</f>
        <v>Unidad 4: El lenguaje y la Lógica de las proposiciones</v>
      </c>
      <c r="C28" s="22"/>
      <c r="D28" s="20" t="str">
        <f>IFERROR(__xludf.DUMMYFUNCTION("FILTER('Diseño'!E:E,'Diseño'!H:H=$C$5)"),"El lenguaje")</f>
        <v>El lenguaje</v>
      </c>
      <c r="E28" s="22"/>
      <c r="F28" s="20" t="str">
        <f>IFERROR(__xludf.DUMMYFUNCTION("FILTER('Diseño'!F:F,'Diseño'!H:H=$C$5)"),"Que es el Lenguaje")</f>
        <v>Que es el Lenguaje</v>
      </c>
      <c r="G28" s="21"/>
      <c r="H28" s="22"/>
    </row>
    <row r="29" ht="15.75" customHeight="1">
      <c r="A29" s="23">
        <v>2.0</v>
      </c>
      <c r="B29" s="20" t="str">
        <f>IFERROR(__xludf.DUMMYFUNCTION("""COMPUTED_VALUE"""),"Unidad 4: El lenguaje y la Lógica de las proposiciones")</f>
        <v>Unidad 4: El lenguaje y la Lógica de las proposiciones</v>
      </c>
      <c r="C29" s="22"/>
      <c r="D29" s="20" t="str">
        <f>IFERROR(__xludf.DUMMYFUNCTION("""COMPUTED_VALUE"""),"El lenguaje")</f>
        <v>El lenguaje</v>
      </c>
      <c r="E29" s="22"/>
      <c r="F29" s="20" t="str">
        <f>IFERROR(__xludf.DUMMYFUNCTION("""COMPUTED_VALUE"""),"Funciones del Lenguaje")</f>
        <v>Funciones del Lenguaje</v>
      </c>
      <c r="G29" s="21"/>
      <c r="H29" s="22"/>
    </row>
    <row r="30" ht="15.75" customHeight="1">
      <c r="A30" s="23">
        <v>3.0</v>
      </c>
      <c r="B30" s="20" t="str">
        <f>IFERROR(__xludf.DUMMYFUNCTION("""COMPUTED_VALUE"""),"Unidad 4: El lenguaje y la Lógica de las proposiciones")</f>
        <v>Unidad 4: El lenguaje y la Lógica de las proposiciones</v>
      </c>
      <c r="C30" s="22"/>
      <c r="D30" s="20" t="str">
        <f>IFERROR(__xludf.DUMMYFUNCTION("""COMPUTED_VALUE"""),"El lenguaje")</f>
        <v>El lenguaje</v>
      </c>
      <c r="E30" s="22"/>
      <c r="F30" s="20" t="str">
        <f>IFERROR(__xludf.DUMMYFUNCTION("""COMPUTED_VALUE"""),"Lenguaje Informativo")</f>
        <v>Lenguaje Informativo</v>
      </c>
      <c r="G30" s="21"/>
      <c r="H30" s="22"/>
    </row>
    <row r="31" ht="15.75" customHeight="1">
      <c r="A31" s="23">
        <v>4.0</v>
      </c>
      <c r="B31" s="20" t="str">
        <f>IFERROR(__xludf.DUMMYFUNCTION("""COMPUTED_VALUE"""),"Unidad 4: El lenguaje y la Lógica de las proposiciones")</f>
        <v>Unidad 4: El lenguaje y la Lógica de las proposiciones</v>
      </c>
      <c r="C31" s="22"/>
      <c r="D31" s="20" t="str">
        <f>IFERROR(__xludf.DUMMYFUNCTION("""COMPUTED_VALUE"""),"El lenguaje")</f>
        <v>El lenguaje</v>
      </c>
      <c r="E31" s="22"/>
      <c r="F31" s="20" t="str">
        <f>IFERROR(__xludf.DUMMYFUNCTION("""COMPUTED_VALUE"""),"Lenguaje Expresivo")</f>
        <v>Lenguaje Expresivo</v>
      </c>
      <c r="G31" s="21"/>
      <c r="H31" s="22"/>
    </row>
    <row r="32" ht="15.75" customHeight="1">
      <c r="A32" s="23">
        <v>5.0</v>
      </c>
      <c r="B32" s="20" t="str">
        <f>IFERROR(__xludf.DUMMYFUNCTION("""COMPUTED_VALUE"""),"Unidad 4: El lenguaje y la Lógica de las proposiciones")</f>
        <v>Unidad 4: El lenguaje y la Lógica de las proposiciones</v>
      </c>
      <c r="C32" s="22"/>
      <c r="D32" s="20" t="str">
        <f>IFERROR(__xludf.DUMMYFUNCTION("""COMPUTED_VALUE"""),"El lenguaje")</f>
        <v>El lenguaje</v>
      </c>
      <c r="E32" s="22"/>
      <c r="F32" s="20" t="str">
        <f>IFERROR(__xludf.DUMMYFUNCTION("""COMPUTED_VALUE"""),"Lenguaje Directivo")</f>
        <v>Lenguaje Directivo</v>
      </c>
      <c r="G32" s="21"/>
      <c r="H32" s="22"/>
    </row>
    <row r="33" ht="15.75" customHeight="1">
      <c r="A33" s="23">
        <v>6.0</v>
      </c>
      <c r="B33" s="20" t="str">
        <f>IFERROR(__xludf.DUMMYFUNCTION("""COMPUTED_VALUE"""),"Unidad 4: El lenguaje y la Lógica de las proposiciones")</f>
        <v>Unidad 4: El lenguaje y la Lógica de las proposiciones</v>
      </c>
      <c r="C33" s="22"/>
      <c r="D33" s="20" t="str">
        <f>IFERROR(__xludf.DUMMYFUNCTION("""COMPUTED_VALUE"""),"El lenguaje")</f>
        <v>El lenguaje</v>
      </c>
      <c r="E33" s="22"/>
      <c r="F33" s="20" t="str">
        <f>IFERROR(__xludf.DUMMYFUNCTION("""COMPUTED_VALUE"""),"Lenguaje Mixto")</f>
        <v>Lenguaje Mixto</v>
      </c>
      <c r="G33" s="21"/>
      <c r="H33" s="22"/>
    </row>
    <row r="34" ht="15.75" customHeight="1">
      <c r="A34" s="23">
        <v>7.0</v>
      </c>
      <c r="B34" s="20"/>
      <c r="C34" s="22"/>
      <c r="D34" s="20"/>
      <c r="E34" s="22"/>
      <c r="F34" s="20"/>
      <c r="G34" s="21"/>
      <c r="H34" s="22"/>
    </row>
    <row r="35" ht="15.75" customHeight="1"/>
    <row r="36" ht="15.75" customHeight="1">
      <c r="A36" s="56" t="s">
        <v>188</v>
      </c>
    </row>
    <row r="37" ht="15.75" customHeight="1">
      <c r="A37" s="5"/>
      <c r="B37" s="5"/>
      <c r="C37" s="5"/>
      <c r="D37" s="5"/>
      <c r="E37" s="5"/>
      <c r="F37" s="5"/>
      <c r="G37" s="5"/>
      <c r="H37" s="5"/>
    </row>
    <row r="38" ht="15.75" customHeight="1">
      <c r="A38" s="57" t="s">
        <v>189</v>
      </c>
      <c r="B38" s="57" t="s">
        <v>190</v>
      </c>
      <c r="C38" s="68" t="s">
        <v>191</v>
      </c>
      <c r="D38" s="69" t="s">
        <v>129</v>
      </c>
      <c r="E38" s="21"/>
      <c r="F38" s="21"/>
      <c r="G38" s="21"/>
      <c r="H38" s="22"/>
    </row>
    <row r="39" ht="15.75" customHeight="1">
      <c r="A39" s="23" t="s">
        <v>192</v>
      </c>
      <c r="B39" s="23" t="s">
        <v>193</v>
      </c>
      <c r="C39" s="62" t="s">
        <v>244</v>
      </c>
      <c r="D39" s="34">
        <v>25.0</v>
      </c>
      <c r="E39" s="21"/>
      <c r="F39" s="21"/>
      <c r="G39" s="21"/>
      <c r="H39" s="22"/>
    </row>
    <row r="40" ht="15.75" customHeight="1">
      <c r="A40" s="23" t="s">
        <v>195</v>
      </c>
      <c r="B40" s="23" t="s">
        <v>193</v>
      </c>
      <c r="C40" s="62" t="s">
        <v>245</v>
      </c>
      <c r="D40" s="34">
        <v>10.0</v>
      </c>
      <c r="E40" s="21"/>
      <c r="F40" s="21"/>
      <c r="G40" s="21"/>
      <c r="H40" s="22"/>
    </row>
    <row r="41" ht="15.75" customHeight="1">
      <c r="A41" s="23" t="s">
        <v>197</v>
      </c>
      <c r="B41" s="23" t="s">
        <v>198</v>
      </c>
      <c r="C41" s="62">
        <v>15.0</v>
      </c>
      <c r="D41" s="17">
        <v>15.0</v>
      </c>
    </row>
    <row r="42" ht="15.75" customHeight="1">
      <c r="A42" s="23" t="s">
        <v>199</v>
      </c>
      <c r="B42" s="23" t="s">
        <v>193</v>
      </c>
      <c r="C42" s="62" t="s">
        <v>246</v>
      </c>
      <c r="D42" s="34">
        <v>10.0</v>
      </c>
      <c r="E42" s="21"/>
      <c r="F42" s="21"/>
      <c r="G42" s="21"/>
      <c r="H42" s="22"/>
    </row>
    <row r="43" ht="15.75" customHeight="1"/>
    <row r="44" ht="15.75" customHeight="1">
      <c r="A44" s="45" t="s">
        <v>200</v>
      </c>
      <c r="G44" s="39" t="s">
        <v>129</v>
      </c>
      <c r="H44" s="55">
        <v>30.0</v>
      </c>
    </row>
    <row r="45" ht="15.75" customHeight="1">
      <c r="G45" s="28" t="s">
        <v>201</v>
      </c>
    </row>
    <row r="46" ht="15.75" customHeight="1">
      <c r="A46" s="28" t="s">
        <v>202</v>
      </c>
    </row>
    <row r="47">
      <c r="A47" s="33" t="s">
        <v>203</v>
      </c>
      <c r="B47" s="34" t="s">
        <v>67</v>
      </c>
      <c r="C47" s="21"/>
      <c r="D47" s="21"/>
      <c r="E47" s="21"/>
      <c r="F47" s="21"/>
      <c r="G47" s="21"/>
      <c r="H47" s="22"/>
    </row>
    <row r="48" ht="15.75" customHeight="1">
      <c r="A48" s="33" t="s">
        <v>204</v>
      </c>
      <c r="B48" s="20" t="s">
        <v>205</v>
      </c>
      <c r="C48" s="21"/>
      <c r="D48" s="21"/>
      <c r="E48" s="21"/>
      <c r="F48" s="21"/>
      <c r="G48" s="21"/>
      <c r="H48" s="22"/>
    </row>
    <row r="49" ht="15.75" customHeight="1">
      <c r="A49" s="33" t="s">
        <v>171</v>
      </c>
      <c r="B49" s="70">
        <v>0.0</v>
      </c>
      <c r="C49" s="21"/>
      <c r="D49" s="21"/>
      <c r="E49" s="21"/>
      <c r="F49" s="21"/>
      <c r="G49" s="21"/>
      <c r="H49" s="22"/>
    </row>
    <row r="50" ht="15.75" customHeight="1">
      <c r="A50" s="33" t="s">
        <v>129</v>
      </c>
      <c r="B50" s="34">
        <v>30.0</v>
      </c>
      <c r="C50" s="21"/>
      <c r="D50" s="21"/>
      <c r="E50" s="21"/>
      <c r="F50" s="21"/>
      <c r="G50" s="21"/>
      <c r="H50" s="22"/>
    </row>
    <row r="51" ht="15.75" customHeight="1">
      <c r="A51" s="71" t="s">
        <v>206</v>
      </c>
      <c r="B51" s="5"/>
      <c r="C51" s="5"/>
      <c r="D51" s="5"/>
      <c r="E51" s="5"/>
      <c r="F51" s="5"/>
      <c r="G51" s="5"/>
      <c r="H51" s="5"/>
    </row>
    <row r="52" ht="15.75" customHeight="1">
      <c r="A52" s="54" t="s">
        <v>207</v>
      </c>
      <c r="B52" s="21"/>
      <c r="C52" s="21"/>
      <c r="D52" s="21"/>
      <c r="E52" s="21"/>
      <c r="F52" s="21"/>
      <c r="G52" s="21"/>
      <c r="H52" s="22"/>
    </row>
    <row r="53" ht="15.75" customHeight="1">
      <c r="A53" s="48" t="s">
        <v>247</v>
      </c>
      <c r="B53" s="49"/>
      <c r="C53" s="49"/>
      <c r="D53" s="49"/>
      <c r="E53" s="49"/>
      <c r="F53" s="49"/>
      <c r="G53" s="49"/>
      <c r="H53" s="50"/>
    </row>
    <row r="54" ht="15.75" customHeight="1">
      <c r="A54" s="72"/>
      <c r="H54" s="73"/>
    </row>
    <row r="55" ht="68.25" customHeight="1">
      <c r="A55" s="51"/>
      <c r="B55" s="52"/>
      <c r="C55" s="52"/>
      <c r="D55" s="52"/>
      <c r="E55" s="52"/>
      <c r="F55" s="52"/>
      <c r="G55" s="52"/>
      <c r="H55" s="53"/>
    </row>
    <row r="56" ht="15.75" customHeight="1"/>
    <row r="57" ht="15.75" customHeight="1">
      <c r="A57" s="28" t="s">
        <v>209</v>
      </c>
    </row>
    <row r="58">
      <c r="A58" s="33" t="s">
        <v>203</v>
      </c>
      <c r="B58" s="20"/>
      <c r="C58" s="21"/>
      <c r="D58" s="21"/>
      <c r="E58" s="21"/>
      <c r="F58" s="21"/>
      <c r="G58" s="21"/>
      <c r="H58" s="22"/>
    </row>
    <row r="59" ht="15.75" customHeight="1">
      <c r="A59" s="33" t="s">
        <v>204</v>
      </c>
      <c r="B59" s="20"/>
      <c r="C59" s="21"/>
      <c r="D59" s="21"/>
      <c r="E59" s="21"/>
      <c r="F59" s="21"/>
      <c r="G59" s="21"/>
      <c r="H59" s="22"/>
    </row>
    <row r="60" ht="15.75" customHeight="1">
      <c r="A60" s="33" t="s">
        <v>171</v>
      </c>
      <c r="B60" s="70"/>
      <c r="C60" s="21"/>
      <c r="D60" s="21"/>
      <c r="E60" s="21"/>
      <c r="F60" s="21"/>
      <c r="G60" s="21"/>
      <c r="H60" s="22"/>
    </row>
    <row r="61" ht="15.75" customHeight="1">
      <c r="A61" s="33" t="s">
        <v>129</v>
      </c>
      <c r="B61" s="70"/>
      <c r="C61" s="21"/>
      <c r="D61" s="21"/>
      <c r="E61" s="21"/>
      <c r="F61" s="21"/>
      <c r="G61" s="21"/>
      <c r="H61" s="22"/>
    </row>
    <row r="62" ht="15.75" customHeight="1">
      <c r="A62" s="74" t="s">
        <v>210</v>
      </c>
      <c r="B62" s="5"/>
      <c r="C62" s="5"/>
      <c r="D62" s="5"/>
      <c r="E62" s="5"/>
      <c r="F62" s="5"/>
      <c r="G62" s="5"/>
      <c r="H62" s="5"/>
    </row>
    <row r="63" ht="15.75" customHeight="1">
      <c r="A63" s="54" t="s">
        <v>207</v>
      </c>
      <c r="B63" s="21"/>
      <c r="C63" s="21"/>
      <c r="D63" s="21"/>
      <c r="E63" s="21"/>
      <c r="F63" s="21"/>
      <c r="G63" s="21"/>
      <c r="H63" s="22"/>
    </row>
    <row r="64" ht="15.75" customHeight="1">
      <c r="A64" s="77"/>
      <c r="B64" s="49"/>
      <c r="C64" s="49"/>
      <c r="D64" s="49"/>
      <c r="E64" s="49"/>
      <c r="F64" s="49"/>
      <c r="G64" s="49"/>
      <c r="H64" s="50"/>
    </row>
    <row r="65" ht="15.75" customHeight="1">
      <c r="A65" s="72"/>
      <c r="H65" s="73"/>
    </row>
    <row r="66" ht="15.75" customHeight="1">
      <c r="A66" s="51"/>
      <c r="B66" s="52"/>
      <c r="C66" s="52"/>
      <c r="D66" s="52"/>
      <c r="E66" s="52"/>
      <c r="F66" s="52"/>
      <c r="G66" s="52"/>
      <c r="H66" s="53"/>
    </row>
    <row r="67" ht="15.75" customHeight="1"/>
    <row r="68" ht="15.75" customHeight="1">
      <c r="A68" s="45" t="s">
        <v>212</v>
      </c>
      <c r="G68" s="39" t="s">
        <v>129</v>
      </c>
      <c r="H68" s="55">
        <f>B70</f>
        <v>5</v>
      </c>
    </row>
    <row r="69" ht="15.75" customHeight="1">
      <c r="G69" s="28" t="s">
        <v>213</v>
      </c>
    </row>
    <row r="70" ht="15.75" customHeight="1">
      <c r="A70" s="33" t="s">
        <v>129</v>
      </c>
      <c r="B70" s="75">
        <v>5.0</v>
      </c>
      <c r="C70" s="21"/>
      <c r="D70" s="21"/>
      <c r="E70" s="21"/>
      <c r="F70" s="21"/>
      <c r="G70" s="21"/>
      <c r="H70" s="22"/>
    </row>
    <row r="71" ht="15.75" customHeight="1">
      <c r="A71" s="69" t="s">
        <v>214</v>
      </c>
      <c r="B71" s="21"/>
      <c r="C71" s="21"/>
      <c r="D71" s="21"/>
      <c r="E71" s="21"/>
      <c r="F71" s="21"/>
      <c r="G71" s="21"/>
      <c r="H71" s="22"/>
    </row>
    <row r="72" ht="15.75" customHeight="1">
      <c r="A72" s="48" t="s">
        <v>248</v>
      </c>
      <c r="B72" s="49"/>
      <c r="C72" s="49"/>
      <c r="D72" s="49"/>
      <c r="E72" s="49"/>
      <c r="F72" s="49"/>
      <c r="G72" s="49"/>
      <c r="H72" s="50"/>
    </row>
    <row r="73" ht="15.75" customHeight="1">
      <c r="A73" s="51"/>
      <c r="B73" s="52"/>
      <c r="C73" s="52"/>
      <c r="D73" s="52"/>
      <c r="E73" s="52"/>
      <c r="F73" s="52"/>
      <c r="G73" s="52"/>
      <c r="H73" s="53"/>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8.0</v>
      </c>
      <c r="D5" s="21"/>
      <c r="E5" s="21"/>
      <c r="F5" s="21"/>
      <c r="G5" s="22"/>
    </row>
    <row r="6" ht="15.75" customHeight="1">
      <c r="B6" s="43" t="s">
        <v>126</v>
      </c>
      <c r="C6" s="20">
        <f>H10+H21+H44+H68</f>
        <v>100</v>
      </c>
      <c r="D6" s="21"/>
      <c r="E6" s="21"/>
      <c r="F6" s="21"/>
      <c r="G6" s="22"/>
      <c r="I6" s="5"/>
    </row>
    <row r="7" ht="15.75" customHeight="1">
      <c r="B7" s="43" t="s">
        <v>171</v>
      </c>
      <c r="C7" s="20">
        <f>B49+B60</f>
        <v>0</v>
      </c>
      <c r="D7" s="21"/>
      <c r="E7" s="21"/>
      <c r="F7" s="21"/>
      <c r="G7" s="22"/>
    </row>
    <row r="8" ht="15.75" customHeight="1">
      <c r="B8" s="43" t="s">
        <v>172</v>
      </c>
      <c r="C8" s="44"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46">
        <f>B13</f>
        <v>5</v>
      </c>
    </row>
    <row r="11" ht="15.75" customHeight="1">
      <c r="G11" s="28" t="s">
        <v>174</v>
      </c>
    </row>
    <row r="12" ht="15.75" customHeight="1">
      <c r="A12" s="33" t="s">
        <v>175</v>
      </c>
      <c r="B12" s="34" t="s">
        <v>237</v>
      </c>
      <c r="C12" s="21"/>
      <c r="D12" s="21"/>
      <c r="E12" s="21"/>
      <c r="F12" s="21"/>
      <c r="G12" s="21"/>
      <c r="H12" s="22"/>
    </row>
    <row r="13" ht="15.75" customHeight="1">
      <c r="A13" s="35" t="s">
        <v>129</v>
      </c>
      <c r="B13" s="34">
        <v>5.0</v>
      </c>
      <c r="C13" s="21"/>
      <c r="D13" s="21"/>
      <c r="E13" s="21"/>
      <c r="F13" s="21"/>
      <c r="G13" s="21"/>
      <c r="H13" s="22"/>
    </row>
    <row r="14" ht="15.75" customHeight="1">
      <c r="A14" s="47" t="s">
        <v>249</v>
      </c>
      <c r="B14" s="21"/>
      <c r="C14" s="21"/>
      <c r="D14" s="21"/>
      <c r="E14" s="21"/>
      <c r="F14" s="21"/>
      <c r="G14" s="21"/>
      <c r="H14" s="22"/>
    </row>
    <row r="15" ht="15.75" customHeight="1">
      <c r="A15" s="48" t="s">
        <v>250</v>
      </c>
      <c r="B15" s="49"/>
      <c r="C15" s="49"/>
      <c r="D15" s="49"/>
      <c r="E15" s="49"/>
      <c r="F15" s="49"/>
      <c r="G15" s="49"/>
      <c r="H15" s="50"/>
    </row>
    <row r="16" ht="15.75"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250</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181</v>
      </c>
      <c r="G21" s="39" t="s">
        <v>129</v>
      </c>
      <c r="H21" s="46">
        <f>SUM(D39:H42)</f>
        <v>60</v>
      </c>
      <c r="I21" s="5"/>
    </row>
    <row r="22" ht="15.75" customHeight="1">
      <c r="G22" s="28" t="s">
        <v>182</v>
      </c>
    </row>
    <row r="23" ht="15.75" customHeight="1">
      <c r="A23" s="33" t="s">
        <v>183</v>
      </c>
      <c r="B23" s="34" t="s">
        <v>49</v>
      </c>
      <c r="C23" s="21"/>
      <c r="D23" s="21"/>
      <c r="E23" s="21"/>
      <c r="F23" s="21"/>
      <c r="G23" s="21"/>
      <c r="H23" s="22"/>
    </row>
    <row r="24" ht="15.75" customHeight="1">
      <c r="A24" s="33" t="s">
        <v>183</v>
      </c>
      <c r="B24" s="20"/>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IFERROR(__xludf.DUMMYFUNCTION("FILTER('Diseño'!D:D,'Diseño'!H:H=$C$5)"),"Segundo Parcial Unidades 3 y 4")</f>
        <v>Segundo Parcial Unidades 3 y 4</v>
      </c>
      <c r="C28" s="22"/>
      <c r="D28" s="20" t="str">
        <f>IFERROR(__xludf.DUMMYFUNCTION("FILTER('Diseño'!E:E,'Diseño'!H:H=$C$5)"),"Segundo Parcial")</f>
        <v>Segundo Parcial</v>
      </c>
      <c r="E28" s="22"/>
      <c r="F28" s="20" t="str">
        <f>IFERROR(__xludf.DUMMYFUNCTION("FILTER('Diseño'!F:F,'Diseño'!H:H=$C$5)"),"Triadas Parciales")</f>
        <v>Triadas Parciales</v>
      </c>
      <c r="G28" s="21"/>
      <c r="H28" s="22"/>
    </row>
    <row r="29" ht="15.75" customHeight="1">
      <c r="A29" s="23">
        <v>2.0</v>
      </c>
      <c r="B29" s="20" t="str">
        <f>IFERROR(__xludf.DUMMYFUNCTION("""COMPUTED_VALUE"""),"Segundo Parcial Unidades 3 y 4")</f>
        <v>Segundo Parcial Unidades 3 y 4</v>
      </c>
      <c r="C29" s="22"/>
      <c r="D29" s="20" t="str">
        <f>IFERROR(__xludf.DUMMYFUNCTION("""COMPUTED_VALUE"""),"Segundo Parcial")</f>
        <v>Segundo Parcial</v>
      </c>
      <c r="E29" s="22"/>
      <c r="F29" s="20" t="str">
        <f>IFERROR(__xludf.DUMMYFUNCTION("""COMPUTED_VALUE"""),"Objetos")</f>
        <v>Objetos</v>
      </c>
      <c r="G29" s="21"/>
      <c r="H29" s="22"/>
    </row>
    <row r="30" ht="15.75" customHeight="1">
      <c r="A30" s="23">
        <v>3.0</v>
      </c>
      <c r="B30" s="20" t="str">
        <f>IFERROR(__xludf.DUMMYFUNCTION("""COMPUTED_VALUE"""),"Segundo Parcial Unidades 3 y 4")</f>
        <v>Segundo Parcial Unidades 3 y 4</v>
      </c>
      <c r="C30" s="22"/>
      <c r="D30" s="20" t="str">
        <f>IFERROR(__xludf.DUMMYFUNCTION("""COMPUTED_VALUE"""),"Segundo Parcial")</f>
        <v>Segundo Parcial</v>
      </c>
      <c r="E30" s="22"/>
      <c r="F30" s="20" t="str">
        <f>IFERROR(__xludf.DUMMYFUNCTION("""COMPUTED_VALUE"""),"Sinonimos Homonimos")</f>
        <v>Sinonimos Homonimos</v>
      </c>
      <c r="G30" s="21"/>
      <c r="H30" s="22"/>
    </row>
    <row r="31" ht="15.75" customHeight="1">
      <c r="A31" s="23">
        <v>4.0</v>
      </c>
      <c r="B31" s="20" t="str">
        <f>IFERROR(__xludf.DUMMYFUNCTION("""COMPUTED_VALUE"""),"Segundo Parcial Unidades 3 y 4")</f>
        <v>Segundo Parcial Unidades 3 y 4</v>
      </c>
      <c r="C31" s="22"/>
      <c r="D31" s="20" t="str">
        <f>IFERROR(__xludf.DUMMYFUNCTION("""COMPUTED_VALUE"""),"Segundo Parcial")</f>
        <v>Segundo Parcial</v>
      </c>
      <c r="E31" s="22"/>
      <c r="F31" s="20" t="str">
        <f>IFERROR(__xludf.DUMMYFUNCTION("""COMPUTED_VALUE"""),"Diagrama del arbol")</f>
        <v>Diagrama del arbol</v>
      </c>
      <c r="G31" s="21"/>
      <c r="H31" s="22"/>
    </row>
    <row r="32" ht="15.75" customHeight="1">
      <c r="A32" s="23">
        <v>5.0</v>
      </c>
      <c r="B32" s="20" t="str">
        <f>IFERROR(__xludf.DUMMYFUNCTION("""COMPUTED_VALUE"""),"Segundo Parcial Unidades 3 y 4")</f>
        <v>Segundo Parcial Unidades 3 y 4</v>
      </c>
      <c r="C32" s="22"/>
      <c r="D32" s="20" t="str">
        <f>IFERROR(__xludf.DUMMYFUNCTION("""COMPUTED_VALUE"""),"Segundo Parcial")</f>
        <v>Segundo Parcial</v>
      </c>
      <c r="E32" s="22"/>
      <c r="F32" s="20" t="str">
        <f>IFERROR(__xludf.DUMMYFUNCTION("""COMPUTED_VALUE"""),"Operaciones Logicas")</f>
        <v>Operaciones Logicas</v>
      </c>
      <c r="G32" s="21"/>
      <c r="H32" s="22"/>
    </row>
    <row r="33" ht="15.75" customHeight="1">
      <c r="A33" s="23">
        <v>6.0</v>
      </c>
      <c r="B33" s="20" t="str">
        <f>IFERROR(__xludf.DUMMYFUNCTION("""COMPUTED_VALUE"""),"Segundo Parcial Unidades 3 y 4")</f>
        <v>Segundo Parcial Unidades 3 y 4</v>
      </c>
      <c r="C33" s="22"/>
      <c r="D33" s="20" t="str">
        <f>IFERROR(__xludf.DUMMYFUNCTION("""COMPUTED_VALUE"""),"Segundo Parcial")</f>
        <v>Segundo Parcial</v>
      </c>
      <c r="E33" s="22"/>
      <c r="F33" s="20" t="str">
        <f>IFERROR(__xludf.DUMMYFUNCTION("""COMPUTED_VALUE"""),"Proposiciones")</f>
        <v>Proposiciones</v>
      </c>
      <c r="G33" s="21"/>
      <c r="H33" s="22"/>
    </row>
    <row r="34" ht="15.75" customHeight="1">
      <c r="A34" s="23">
        <v>7.0</v>
      </c>
      <c r="B34" s="20" t="str">
        <f>IFERROR(__xludf.DUMMYFUNCTION("""COMPUTED_VALUE"""),"Segundo Parcial Unidades 3 y 4")</f>
        <v>Segundo Parcial Unidades 3 y 4</v>
      </c>
      <c r="C34" s="22"/>
      <c r="D34" s="20" t="str">
        <f>IFERROR(__xludf.DUMMYFUNCTION("""COMPUTED_VALUE"""),"Segundo Parcial")</f>
        <v>Segundo Parcial</v>
      </c>
      <c r="E34" s="22"/>
      <c r="F34" s="20" t="str">
        <f>IFERROR(__xludf.DUMMYFUNCTION("""COMPUTED_VALUE"""),"Logica del Razonamiento")</f>
        <v>Logica del Razonamiento</v>
      </c>
      <c r="G34" s="21"/>
      <c r="H34" s="22"/>
    </row>
    <row r="35" ht="15.75" customHeight="1"/>
    <row r="36" ht="15.75" customHeight="1">
      <c r="A36" s="56" t="s">
        <v>188</v>
      </c>
    </row>
    <row r="37" ht="15.75" customHeight="1">
      <c r="A37" s="5"/>
      <c r="B37" s="5"/>
      <c r="C37" s="5"/>
      <c r="D37" s="5"/>
      <c r="E37" s="5"/>
      <c r="F37" s="5"/>
      <c r="G37" s="5"/>
      <c r="H37" s="5"/>
    </row>
    <row r="38" ht="15.75" customHeight="1">
      <c r="A38" s="57" t="s">
        <v>189</v>
      </c>
      <c r="B38" s="57" t="s">
        <v>190</v>
      </c>
      <c r="C38" s="68" t="s">
        <v>191</v>
      </c>
      <c r="D38" s="69" t="s">
        <v>129</v>
      </c>
      <c r="E38" s="21"/>
      <c r="F38" s="21"/>
      <c r="G38" s="21"/>
      <c r="H38" s="22"/>
    </row>
    <row r="39" ht="15.75" customHeight="1">
      <c r="A39" s="23" t="s">
        <v>192</v>
      </c>
      <c r="B39" s="23" t="s">
        <v>193</v>
      </c>
      <c r="C39" s="62" t="s">
        <v>232</v>
      </c>
      <c r="D39" s="34">
        <v>25.0</v>
      </c>
      <c r="E39" s="21"/>
      <c r="F39" s="21"/>
      <c r="G39" s="21"/>
      <c r="H39" s="22"/>
    </row>
    <row r="40" ht="15.75" customHeight="1">
      <c r="A40" s="23" t="s">
        <v>195</v>
      </c>
      <c r="B40" s="23" t="s">
        <v>193</v>
      </c>
      <c r="C40" s="62" t="s">
        <v>251</v>
      </c>
      <c r="D40" s="34">
        <v>5.0</v>
      </c>
      <c r="E40" s="21"/>
      <c r="F40" s="21"/>
      <c r="G40" s="21"/>
      <c r="H40" s="22"/>
    </row>
    <row r="41" ht="15.75" customHeight="1">
      <c r="A41" s="23" t="s">
        <v>197</v>
      </c>
      <c r="B41" s="23" t="s">
        <v>198</v>
      </c>
      <c r="C41" s="62" t="s">
        <v>196</v>
      </c>
      <c r="D41" s="34">
        <v>10.0</v>
      </c>
      <c r="E41" s="21"/>
      <c r="F41" s="21"/>
      <c r="G41" s="21"/>
      <c r="H41" s="22"/>
    </row>
    <row r="42" ht="15.75" customHeight="1">
      <c r="A42" s="23" t="s">
        <v>199</v>
      </c>
      <c r="B42" s="23" t="s">
        <v>193</v>
      </c>
      <c r="C42" s="62" t="s">
        <v>233</v>
      </c>
      <c r="D42" s="34">
        <v>20.0</v>
      </c>
      <c r="E42" s="21"/>
      <c r="F42" s="21"/>
      <c r="G42" s="21"/>
      <c r="H42" s="22"/>
    </row>
    <row r="43" ht="15.75" customHeight="1"/>
    <row r="44" ht="15.75" customHeight="1">
      <c r="A44" s="45" t="s">
        <v>200</v>
      </c>
      <c r="G44" s="39" t="s">
        <v>129</v>
      </c>
      <c r="H44" s="46">
        <f>B50</f>
        <v>25</v>
      </c>
    </row>
    <row r="45" ht="15.75" customHeight="1">
      <c r="G45" s="28" t="s">
        <v>201</v>
      </c>
    </row>
    <row r="46" ht="15.75" customHeight="1">
      <c r="A46" s="28" t="s">
        <v>202</v>
      </c>
    </row>
    <row r="47">
      <c r="A47" s="33" t="s">
        <v>203</v>
      </c>
      <c r="B47" s="34" t="s">
        <v>49</v>
      </c>
      <c r="C47" s="21"/>
      <c r="D47" s="21"/>
      <c r="E47" s="21"/>
      <c r="F47" s="21"/>
      <c r="G47" s="21"/>
      <c r="H47" s="22"/>
    </row>
    <row r="48" ht="15.75" customHeight="1">
      <c r="A48" s="33" t="s">
        <v>204</v>
      </c>
      <c r="B48" s="34" t="s">
        <v>252</v>
      </c>
      <c r="C48" s="21"/>
      <c r="D48" s="21"/>
      <c r="E48" s="21"/>
      <c r="F48" s="21"/>
      <c r="G48" s="21"/>
      <c r="H48" s="22"/>
    </row>
    <row r="49" ht="15.75" customHeight="1">
      <c r="A49" s="33" t="s">
        <v>171</v>
      </c>
      <c r="B49" s="70">
        <v>0.0</v>
      </c>
      <c r="C49" s="21"/>
      <c r="D49" s="21"/>
      <c r="E49" s="21"/>
      <c r="F49" s="21"/>
      <c r="G49" s="21"/>
      <c r="H49" s="22"/>
    </row>
    <row r="50" ht="15.75" customHeight="1">
      <c r="A50" s="33" t="s">
        <v>129</v>
      </c>
      <c r="B50" s="34">
        <v>25.0</v>
      </c>
      <c r="C50" s="21"/>
      <c r="D50" s="21"/>
      <c r="E50" s="21"/>
      <c r="F50" s="21"/>
      <c r="G50" s="21"/>
      <c r="H50" s="22"/>
    </row>
    <row r="51" ht="15.75" customHeight="1">
      <c r="A51" s="71" t="s">
        <v>206</v>
      </c>
      <c r="B51" s="5"/>
      <c r="C51" s="5"/>
      <c r="D51" s="5"/>
      <c r="E51" s="5"/>
      <c r="F51" s="5"/>
      <c r="G51" s="5"/>
      <c r="H51" s="5"/>
    </row>
    <row r="52" ht="15.75" customHeight="1">
      <c r="A52" s="54" t="s">
        <v>207</v>
      </c>
      <c r="B52" s="21"/>
      <c r="C52" s="21"/>
      <c r="D52" s="21"/>
      <c r="E52" s="21"/>
      <c r="F52" s="21"/>
      <c r="G52" s="21"/>
      <c r="H52" s="22"/>
    </row>
    <row r="53" ht="15.75" customHeight="1">
      <c r="A53" s="88" t="s">
        <v>253</v>
      </c>
      <c r="B53" s="49"/>
      <c r="C53" s="49"/>
      <c r="D53" s="49"/>
      <c r="E53" s="49"/>
      <c r="F53" s="49"/>
      <c r="G53" s="49"/>
      <c r="H53" s="50"/>
    </row>
    <row r="54" ht="15.75" customHeight="1">
      <c r="A54" s="72"/>
      <c r="H54" s="73"/>
    </row>
    <row r="55" ht="15.75" customHeight="1">
      <c r="A55" s="51"/>
      <c r="B55" s="52"/>
      <c r="C55" s="52"/>
      <c r="D55" s="52"/>
      <c r="E55" s="52"/>
      <c r="F55" s="52"/>
      <c r="G55" s="52"/>
      <c r="H55" s="53"/>
    </row>
    <row r="56" ht="15.75" customHeight="1"/>
    <row r="57" ht="15.75" customHeight="1">
      <c r="A57" s="28" t="s">
        <v>209</v>
      </c>
    </row>
    <row r="58">
      <c r="A58" s="33" t="s">
        <v>203</v>
      </c>
      <c r="B58" s="20"/>
      <c r="C58" s="21"/>
      <c r="D58" s="21"/>
      <c r="E58" s="21"/>
      <c r="F58" s="21"/>
      <c r="G58" s="21"/>
      <c r="H58" s="22"/>
    </row>
    <row r="59" ht="15.75" customHeight="1">
      <c r="A59" s="33" t="s">
        <v>204</v>
      </c>
      <c r="B59" s="20"/>
      <c r="C59" s="21"/>
      <c r="D59" s="21"/>
      <c r="E59" s="21"/>
      <c r="F59" s="21"/>
      <c r="G59" s="21"/>
      <c r="H59" s="22"/>
    </row>
    <row r="60" ht="15.75" customHeight="1">
      <c r="A60" s="33" t="s">
        <v>171</v>
      </c>
      <c r="B60" s="70"/>
      <c r="C60" s="21"/>
      <c r="D60" s="21"/>
      <c r="E60" s="21"/>
      <c r="F60" s="21"/>
      <c r="G60" s="21"/>
      <c r="H60" s="22"/>
    </row>
    <row r="61" ht="15.75" customHeight="1">
      <c r="A61" s="33" t="s">
        <v>129</v>
      </c>
      <c r="B61" s="70"/>
      <c r="C61" s="21"/>
      <c r="D61" s="21"/>
      <c r="E61" s="21"/>
      <c r="F61" s="21"/>
      <c r="G61" s="21"/>
      <c r="H61" s="22"/>
    </row>
    <row r="62" ht="15.75" customHeight="1">
      <c r="A62" s="74" t="s">
        <v>210</v>
      </c>
      <c r="B62" s="5"/>
      <c r="C62" s="5"/>
      <c r="D62" s="5"/>
      <c r="E62" s="5"/>
      <c r="F62" s="5"/>
      <c r="G62" s="5"/>
      <c r="H62" s="5"/>
    </row>
    <row r="63" ht="15.75" customHeight="1">
      <c r="A63" s="54" t="s">
        <v>207</v>
      </c>
      <c r="B63" s="21"/>
      <c r="C63" s="21"/>
      <c r="D63" s="21"/>
      <c r="E63" s="21"/>
      <c r="F63" s="21"/>
      <c r="G63" s="21"/>
      <c r="H63" s="22"/>
    </row>
    <row r="64" ht="15.75" customHeight="1">
      <c r="A64" s="77"/>
      <c r="B64" s="49"/>
      <c r="C64" s="49"/>
      <c r="D64" s="49"/>
      <c r="E64" s="49"/>
      <c r="F64" s="49"/>
      <c r="G64" s="49"/>
      <c r="H64" s="50"/>
    </row>
    <row r="65" ht="15.75" customHeight="1">
      <c r="A65" s="72"/>
      <c r="H65" s="73"/>
    </row>
    <row r="66" ht="15.75" customHeight="1">
      <c r="A66" s="51"/>
      <c r="B66" s="52"/>
      <c r="C66" s="52"/>
      <c r="D66" s="52"/>
      <c r="E66" s="52"/>
      <c r="F66" s="52"/>
      <c r="G66" s="52"/>
      <c r="H66" s="53"/>
    </row>
    <row r="67" ht="15.75" customHeight="1"/>
    <row r="68" ht="15.75" customHeight="1">
      <c r="A68" s="45" t="s">
        <v>212</v>
      </c>
      <c r="G68" s="39" t="s">
        <v>129</v>
      </c>
      <c r="H68" s="46">
        <f>B70</f>
        <v>10</v>
      </c>
    </row>
    <row r="69" ht="15.75" customHeight="1">
      <c r="G69" s="28" t="s">
        <v>213</v>
      </c>
    </row>
    <row r="70" ht="15.75" customHeight="1">
      <c r="A70" s="33" t="s">
        <v>129</v>
      </c>
      <c r="B70" s="93">
        <v>10.0</v>
      </c>
      <c r="C70" s="21"/>
      <c r="D70" s="21"/>
      <c r="E70" s="21"/>
      <c r="F70" s="21"/>
      <c r="G70" s="21"/>
      <c r="H70" s="22"/>
    </row>
    <row r="71" ht="15.75" customHeight="1">
      <c r="A71" s="69" t="s">
        <v>214</v>
      </c>
      <c r="B71" s="21"/>
      <c r="C71" s="21"/>
      <c r="D71" s="21"/>
      <c r="E71" s="21"/>
      <c r="F71" s="21"/>
      <c r="G71" s="21"/>
      <c r="H71" s="22"/>
    </row>
    <row r="72" ht="15.75" customHeight="1">
      <c r="A72" s="48" t="s">
        <v>254</v>
      </c>
      <c r="B72" s="49"/>
      <c r="C72" s="49"/>
      <c r="D72" s="49"/>
      <c r="E72" s="49"/>
      <c r="F72" s="49"/>
      <c r="G72" s="49"/>
      <c r="H72" s="50"/>
    </row>
    <row r="73" ht="15.75" customHeight="1">
      <c r="A73" s="51"/>
      <c r="B73" s="52"/>
      <c r="C73" s="52"/>
      <c r="D73" s="52"/>
      <c r="E73" s="52"/>
      <c r="F73" s="52"/>
      <c r="G73" s="52"/>
      <c r="H73" s="53"/>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9.0</v>
      </c>
      <c r="D5" s="21"/>
      <c r="E5" s="21"/>
      <c r="F5" s="21"/>
      <c r="G5" s="22"/>
    </row>
    <row r="6" ht="15.75" customHeight="1">
      <c r="B6" s="43" t="s">
        <v>126</v>
      </c>
      <c r="C6" s="20">
        <f>H10+H21+H48+H72</f>
        <v>110</v>
      </c>
      <c r="D6" s="21"/>
      <c r="E6" s="21"/>
      <c r="F6" s="21"/>
      <c r="G6" s="22"/>
      <c r="I6" s="5"/>
    </row>
    <row r="7" ht="15.75" customHeight="1">
      <c r="B7" s="43" t="s">
        <v>171</v>
      </c>
      <c r="C7" s="20">
        <f>B53+B64</f>
        <v>0</v>
      </c>
      <c r="D7" s="21"/>
      <c r="E7" s="21"/>
      <c r="F7" s="21"/>
      <c r="G7" s="22"/>
    </row>
    <row r="8" ht="15.75" customHeight="1">
      <c r="B8" s="43" t="s">
        <v>172</v>
      </c>
      <c r="C8" s="44" t="str">
        <f>IF(H48&lt;=0, "❌ ERROR: La Actividad 1 debe tener un tiempo mayor a 0.", IF(H21&gt;60, "❌ ERROR: El 'Área de Conocimiento' no puede exceder los 60 min.", IF((H10+H21+H48)&lt;100,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55">
        <v>5.0</v>
      </c>
    </row>
    <row r="11" ht="15.75" customHeight="1">
      <c r="G11" s="28" t="s">
        <v>174</v>
      </c>
    </row>
    <row r="12" ht="15.75" customHeight="1">
      <c r="A12" s="33" t="s">
        <v>175</v>
      </c>
      <c r="B12" s="34" t="s">
        <v>255</v>
      </c>
      <c r="C12" s="21"/>
      <c r="D12" s="21"/>
      <c r="E12" s="21"/>
      <c r="F12" s="21"/>
      <c r="G12" s="21"/>
      <c r="H12" s="22"/>
    </row>
    <row r="13" ht="15.75" customHeight="1">
      <c r="A13" s="35" t="s">
        <v>129</v>
      </c>
      <c r="B13" s="34">
        <v>5.0</v>
      </c>
      <c r="C13" s="21"/>
      <c r="D13" s="21"/>
      <c r="E13" s="21"/>
      <c r="F13" s="21"/>
      <c r="G13" s="21"/>
      <c r="H13" s="22"/>
    </row>
    <row r="14" ht="15.75" customHeight="1">
      <c r="A14" s="54" t="s">
        <v>218</v>
      </c>
      <c r="B14" s="21"/>
      <c r="C14" s="21"/>
      <c r="D14" s="21"/>
      <c r="E14" s="21"/>
      <c r="F14" s="21"/>
      <c r="G14" s="21"/>
      <c r="H14" s="22"/>
    </row>
    <row r="15" ht="15.75" customHeight="1">
      <c r="A15" s="48" t="s">
        <v>256</v>
      </c>
      <c r="B15" s="49"/>
      <c r="C15" s="49"/>
      <c r="D15" s="49"/>
      <c r="E15" s="49"/>
      <c r="F15" s="49"/>
      <c r="G15" s="49"/>
      <c r="H15" s="50"/>
    </row>
    <row r="16" ht="15.75"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257</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181</v>
      </c>
      <c r="G21" s="39" t="s">
        <v>129</v>
      </c>
      <c r="H21" s="55">
        <v>60.0</v>
      </c>
      <c r="I21" s="5"/>
    </row>
    <row r="22" ht="15.75" customHeight="1">
      <c r="G22" s="28" t="s">
        <v>182</v>
      </c>
    </row>
    <row r="23" ht="15.75" customHeight="1">
      <c r="A23" s="33" t="s">
        <v>183</v>
      </c>
      <c r="B23" s="34" t="s">
        <v>92</v>
      </c>
      <c r="C23" s="21"/>
      <c r="D23" s="21"/>
      <c r="E23" s="21"/>
      <c r="F23" s="21"/>
      <c r="G23" s="21"/>
      <c r="H23" s="22"/>
    </row>
    <row r="24" ht="15.75" customHeight="1">
      <c r="A24" s="33" t="s">
        <v>183</v>
      </c>
      <c r="B24" s="20"/>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IFERROR(__xludf.DUMMYFUNCTION("FILTER('Diseño'!D:D,'Diseño'!H:H=$C$5)"),"Unidad 5: Razonamiento y falacias")</f>
        <v>Unidad 5: Razonamiento y falacias</v>
      </c>
      <c r="C28" s="22"/>
      <c r="D28" s="20" t="str">
        <f>IFERROR(__xludf.DUMMYFUNCTION("FILTER('Diseño'!E:E,'Diseño'!H:H=$C$5)"),"Razonamiento")</f>
        <v>Razonamiento</v>
      </c>
      <c r="E28" s="22"/>
      <c r="F28" s="20" t="str">
        <f>IFERROR(__xludf.DUMMYFUNCTION("FILTER('Diseño'!F:F,'Diseño'!H:H=$C$5)"),"El razonamiento")</f>
        <v>El razonamiento</v>
      </c>
      <c r="G28" s="21"/>
      <c r="H28" s="22"/>
    </row>
    <row r="29" ht="15.75" customHeight="1">
      <c r="A29" s="23">
        <v>2.0</v>
      </c>
      <c r="B29" s="20" t="str">
        <f>IFERROR(__xludf.DUMMYFUNCTION("""COMPUTED_VALUE"""),"Unidad 5: Razonamiento y falacias")</f>
        <v>Unidad 5: Razonamiento y falacias</v>
      </c>
      <c r="C29" s="22"/>
      <c r="D29" s="20" t="str">
        <f>IFERROR(__xludf.DUMMYFUNCTION("""COMPUTED_VALUE"""),"Razonamiento")</f>
        <v>Razonamiento</v>
      </c>
      <c r="E29" s="22"/>
      <c r="F29" s="20" t="str">
        <f>IFERROR(__xludf.DUMMYFUNCTION("""COMPUTED_VALUE"""),"Las inferencias")</f>
        <v>Las inferencias</v>
      </c>
      <c r="G29" s="21"/>
      <c r="H29" s="22"/>
    </row>
    <row r="30" ht="15.75" customHeight="1">
      <c r="A30" s="23">
        <v>3.0</v>
      </c>
      <c r="B30" s="20" t="str">
        <f>IFERROR(__xludf.DUMMYFUNCTION("""COMPUTED_VALUE"""),"Unidad 5: Razonamiento y falacias")</f>
        <v>Unidad 5: Razonamiento y falacias</v>
      </c>
      <c r="C30" s="22"/>
      <c r="D30" s="20" t="str">
        <f>IFERROR(__xludf.DUMMYFUNCTION("""COMPUTED_VALUE"""),"Razonamiento")</f>
        <v>Razonamiento</v>
      </c>
      <c r="E30" s="22"/>
      <c r="F30" s="20" t="str">
        <f>IFERROR(__xludf.DUMMYFUNCTION("""COMPUTED_VALUE"""),"Razonamiento Formal e Informal")</f>
        <v>Razonamiento Formal e Informal</v>
      </c>
      <c r="G30" s="21"/>
      <c r="H30" s="22"/>
    </row>
    <row r="31" ht="15.75" customHeight="1">
      <c r="A31" s="23">
        <v>4.0</v>
      </c>
      <c r="B31" s="20" t="str">
        <f>IFERROR(__xludf.DUMMYFUNCTION("""COMPUTED_VALUE"""),"Unidad 5: Razonamiento y falacias")</f>
        <v>Unidad 5: Razonamiento y falacias</v>
      </c>
      <c r="C31" s="22"/>
      <c r="D31" s="20" t="str">
        <f>IFERROR(__xludf.DUMMYFUNCTION("""COMPUTED_VALUE"""),"Razonamiento")</f>
        <v>Razonamiento</v>
      </c>
      <c r="E31" s="22"/>
      <c r="F31" s="20" t="str">
        <f>IFERROR(__xludf.DUMMYFUNCTION("""COMPUTED_VALUE"""),"La inferencia")</f>
        <v>La inferencia</v>
      </c>
      <c r="G31" s="21"/>
      <c r="H31" s="22"/>
    </row>
    <row r="32" ht="15.75" customHeight="1">
      <c r="A32" s="23">
        <v>5.0</v>
      </c>
      <c r="B32" s="20" t="str">
        <f>IFERROR(__xludf.DUMMYFUNCTION("""COMPUTED_VALUE"""),"Unidad 5: Razonamiento y falacias")</f>
        <v>Unidad 5: Razonamiento y falacias</v>
      </c>
      <c r="C32" s="22"/>
      <c r="D32" s="20" t="str">
        <f>IFERROR(__xludf.DUMMYFUNCTION("""COMPUTED_VALUE"""),"Razonamiento")</f>
        <v>Razonamiento</v>
      </c>
      <c r="E32" s="22"/>
      <c r="F32" s="20" t="str">
        <f>IFERROR(__xludf.DUMMYFUNCTION("""COMPUTED_VALUE"""),"Reglas de inferencia")</f>
        <v>Reglas de inferencia</v>
      </c>
      <c r="G32" s="21"/>
      <c r="H32" s="22"/>
    </row>
    <row r="33" ht="15.75" customHeight="1">
      <c r="A33" s="23">
        <v>6.0</v>
      </c>
      <c r="B33" s="20" t="str">
        <f>IFERROR(__xludf.DUMMYFUNCTION("""COMPUTED_VALUE"""),"Unidad 5: Razonamiento y falacias")</f>
        <v>Unidad 5: Razonamiento y falacias</v>
      </c>
      <c r="C33" s="22"/>
      <c r="D33" s="20" t="str">
        <f>IFERROR(__xludf.DUMMYFUNCTION("""COMPUTED_VALUE"""),"Falacias")</f>
        <v>Falacias</v>
      </c>
      <c r="E33" s="22"/>
      <c r="F33" s="20" t="str">
        <f>IFERROR(__xludf.DUMMYFUNCTION("""COMPUTED_VALUE"""),"Las falacias")</f>
        <v>Las falacias</v>
      </c>
      <c r="G33" s="21"/>
      <c r="H33" s="22"/>
    </row>
    <row r="34" ht="15.75" customHeight="1">
      <c r="A34" s="23">
        <v>7.0</v>
      </c>
      <c r="B34" s="20" t="str">
        <f>IFERROR(__xludf.DUMMYFUNCTION("""COMPUTED_VALUE"""),"Unidad 5: Razonamiento y falacias")</f>
        <v>Unidad 5: Razonamiento y falacias</v>
      </c>
      <c r="C34" s="22"/>
      <c r="D34" s="20" t="str">
        <f>IFERROR(__xludf.DUMMYFUNCTION("""COMPUTED_VALUE"""),"Falacias")</f>
        <v>Falacias</v>
      </c>
      <c r="E34" s="22"/>
      <c r="F34" s="20" t="str">
        <f>IFERROR(__xludf.DUMMYFUNCTION("""COMPUTED_VALUE"""),"Falacias de Antingencia")</f>
        <v>Falacias de Antingencia</v>
      </c>
      <c r="G34" s="21"/>
      <c r="H34" s="22"/>
    </row>
    <row r="35" ht="15.75" customHeight="1">
      <c r="A35" s="23">
        <v>8.0</v>
      </c>
      <c r="B35" s="20" t="str">
        <f>IFERROR(__xludf.DUMMYFUNCTION("""COMPUTED_VALUE"""),"Unidad 5: Razonamiento y falacias")</f>
        <v>Unidad 5: Razonamiento y falacias</v>
      </c>
      <c r="C35" s="22"/>
      <c r="D35" s="20" t="str">
        <f>IFERROR(__xludf.DUMMYFUNCTION("""COMPUTED_VALUE"""),"Falacias")</f>
        <v>Falacias</v>
      </c>
      <c r="E35" s="22"/>
      <c r="F35" s="61" t="str">
        <f>IFERROR(__xludf.DUMMYFUNCTION("""COMPUTED_VALUE"""),"Falacias de Ambiguedad")</f>
        <v>Falacias de Ambiguedad</v>
      </c>
      <c r="G35" s="21"/>
      <c r="H35" s="22"/>
    </row>
    <row r="36" ht="15.75" customHeight="1">
      <c r="A36" s="23">
        <v>9.0</v>
      </c>
      <c r="B36" s="20" t="str">
        <f>IFERROR(__xludf.DUMMYFUNCTION("""COMPUTED_VALUE"""),"Unidad 5: Razonamiento y falacias")</f>
        <v>Unidad 5: Razonamiento y falacias</v>
      </c>
      <c r="C36" s="22"/>
      <c r="D36" s="20" t="str">
        <f>IFERROR(__xludf.DUMMYFUNCTION("""COMPUTED_VALUE"""),"Falacias")</f>
        <v>Falacias</v>
      </c>
      <c r="E36" s="22"/>
      <c r="F36" s="61" t="str">
        <f>IFERROR(__xludf.DUMMYFUNCTION("""COMPUTED_VALUE"""),"El padre de las estrategias para solución de problemas")</f>
        <v>El padre de las estrategias para solución de problemas</v>
      </c>
      <c r="G36" s="21"/>
      <c r="H36" s="22"/>
    </row>
    <row r="37" ht="15.75" customHeight="1">
      <c r="A37" s="23">
        <v>10.0</v>
      </c>
      <c r="B37" s="20" t="str">
        <f>IFERROR(__xludf.DUMMYFUNCTION("""COMPUTED_VALUE"""),"Unidad 5: Razonamiento y falacias")</f>
        <v>Unidad 5: Razonamiento y falacias</v>
      </c>
      <c r="C37" s="22"/>
      <c r="D37" s="20" t="str">
        <f>IFERROR(__xludf.DUMMYFUNCTION("""COMPUTED_VALUE"""),"Falacias")</f>
        <v>Falacias</v>
      </c>
      <c r="E37" s="22"/>
      <c r="F37" s="61" t="str">
        <f>IFERROR(__xludf.DUMMYFUNCTION("""COMPUTED_VALUE"""),"Buscar un patrón")</f>
        <v>Buscar un patrón</v>
      </c>
      <c r="G37" s="21"/>
      <c r="H37" s="22"/>
    </row>
    <row r="38" ht="15.75" customHeight="1">
      <c r="A38" s="23">
        <v>11.0</v>
      </c>
      <c r="B38" s="20" t="str">
        <f>IFERROR(__xludf.DUMMYFUNCTION("""COMPUTED_VALUE"""),"Unidad 5: Razonamiento y falacias")</f>
        <v>Unidad 5: Razonamiento y falacias</v>
      </c>
      <c r="C38" s="22"/>
      <c r="D38" s="20" t="str">
        <f>IFERROR(__xludf.DUMMYFUNCTION("""COMPUTED_VALUE"""),"Falacias")</f>
        <v>Falacias</v>
      </c>
      <c r="E38" s="22"/>
      <c r="F38" s="61" t="str">
        <f>IFERROR(__xludf.DUMMYFUNCTION("""COMPUTED_VALUE"""),"Ensayo y error")</f>
        <v>Ensayo y error</v>
      </c>
      <c r="G38" s="21"/>
      <c r="H38" s="22"/>
    </row>
    <row r="39" ht="15.75" customHeight="1">
      <c r="A39" s="23">
        <v>12.0</v>
      </c>
      <c r="B39" s="20" t="str">
        <f>IFERROR(__xludf.DUMMYFUNCTION("""COMPUTED_VALUE"""),"Unidad 5: Razonamiento y falacias")</f>
        <v>Unidad 5: Razonamiento y falacias</v>
      </c>
      <c r="C39" s="22"/>
      <c r="D39" s="20" t="str">
        <f>IFERROR(__xludf.DUMMYFUNCTION("""COMPUTED_VALUE"""),"Falacias")</f>
        <v>Falacias</v>
      </c>
      <c r="E39" s="22"/>
      <c r="F39" s="61" t="str">
        <f>IFERROR(__xludf.DUMMYFUNCTION("""COMPUTED_VALUE"""),"Bosquejo o diagrama")</f>
        <v>Bosquejo o diagrama</v>
      </c>
      <c r="G39" s="21"/>
      <c r="H39" s="22"/>
    </row>
    <row r="40" ht="15.75" customHeight="1">
      <c r="A40" s="56" t="s">
        <v>188</v>
      </c>
    </row>
    <row r="41" ht="15.75" customHeight="1">
      <c r="A41" s="5"/>
      <c r="B41" s="5"/>
      <c r="C41" s="5"/>
      <c r="D41" s="5"/>
      <c r="E41" s="5"/>
      <c r="F41" s="5"/>
      <c r="G41" s="5"/>
      <c r="H41" s="5"/>
    </row>
    <row r="42" ht="15.75" customHeight="1">
      <c r="A42" s="57" t="s">
        <v>189</v>
      </c>
      <c r="B42" s="57" t="s">
        <v>190</v>
      </c>
      <c r="C42" s="68" t="s">
        <v>191</v>
      </c>
      <c r="D42" s="69" t="s">
        <v>129</v>
      </c>
      <c r="E42" s="21"/>
      <c r="F42" s="21"/>
      <c r="G42" s="21"/>
      <c r="H42" s="22"/>
    </row>
    <row r="43" ht="15.75" customHeight="1">
      <c r="A43" s="23" t="s">
        <v>192</v>
      </c>
      <c r="B43" s="23" t="s">
        <v>193</v>
      </c>
      <c r="C43" s="90" t="s">
        <v>221</v>
      </c>
      <c r="D43" s="91">
        <v>30.0</v>
      </c>
      <c r="E43" s="21"/>
      <c r="F43" s="21"/>
      <c r="G43" s="21"/>
      <c r="H43" s="22"/>
    </row>
    <row r="44" ht="15.75" customHeight="1">
      <c r="A44" s="23" t="s">
        <v>195</v>
      </c>
      <c r="B44" s="23" t="s">
        <v>193</v>
      </c>
      <c r="C44" s="90" t="s">
        <v>222</v>
      </c>
      <c r="D44" s="91">
        <v>10.0</v>
      </c>
      <c r="E44" s="21"/>
      <c r="F44" s="21"/>
      <c r="G44" s="21"/>
      <c r="H44" s="22"/>
    </row>
    <row r="45" ht="15.75" customHeight="1">
      <c r="A45" s="23" t="s">
        <v>197</v>
      </c>
      <c r="B45" s="23" t="s">
        <v>198</v>
      </c>
      <c r="C45" s="90" t="s">
        <v>196</v>
      </c>
      <c r="D45" s="91">
        <v>10.0</v>
      </c>
      <c r="E45" s="21"/>
      <c r="F45" s="21"/>
      <c r="G45" s="21"/>
      <c r="H45" s="22"/>
    </row>
    <row r="46" ht="15.75" customHeight="1">
      <c r="A46" s="23" t="s">
        <v>199</v>
      </c>
      <c r="B46" s="23" t="s">
        <v>193</v>
      </c>
      <c r="C46" s="90" t="s">
        <v>196</v>
      </c>
      <c r="D46" s="91">
        <v>10.0</v>
      </c>
      <c r="E46" s="21"/>
      <c r="F46" s="21"/>
      <c r="G46" s="21"/>
      <c r="H46" s="22"/>
    </row>
    <row r="47" ht="15.75" customHeight="1"/>
    <row r="48" ht="15.75" customHeight="1">
      <c r="A48" s="45" t="s">
        <v>200</v>
      </c>
      <c r="G48" s="39" t="s">
        <v>129</v>
      </c>
      <c r="H48" s="55">
        <v>35.0</v>
      </c>
    </row>
    <row r="49" ht="15.75" customHeight="1">
      <c r="G49" s="28" t="s">
        <v>201</v>
      </c>
    </row>
    <row r="50" ht="15.75" customHeight="1">
      <c r="A50" s="28" t="s">
        <v>202</v>
      </c>
    </row>
    <row r="51">
      <c r="A51" s="33" t="s">
        <v>203</v>
      </c>
      <c r="B51" s="34" t="s">
        <v>92</v>
      </c>
      <c r="C51" s="21"/>
      <c r="D51" s="21"/>
      <c r="E51" s="21"/>
      <c r="F51" s="21"/>
      <c r="G51" s="21"/>
      <c r="H51" s="22"/>
    </row>
    <row r="52" ht="15.75" customHeight="1">
      <c r="A52" s="33" t="s">
        <v>204</v>
      </c>
      <c r="B52" s="20" t="s">
        <v>205</v>
      </c>
      <c r="C52" s="21"/>
      <c r="D52" s="21"/>
      <c r="E52" s="21"/>
      <c r="F52" s="21"/>
      <c r="G52" s="21"/>
      <c r="H52" s="22"/>
    </row>
    <row r="53" ht="15.75" customHeight="1">
      <c r="A53" s="33" t="s">
        <v>171</v>
      </c>
      <c r="B53" s="70">
        <v>0.0</v>
      </c>
      <c r="C53" s="21"/>
      <c r="D53" s="21"/>
      <c r="E53" s="21"/>
      <c r="F53" s="21"/>
      <c r="G53" s="21"/>
      <c r="H53" s="22"/>
    </row>
    <row r="54" ht="15.75" customHeight="1">
      <c r="A54" s="33" t="s">
        <v>129</v>
      </c>
      <c r="B54" s="34">
        <v>30.0</v>
      </c>
      <c r="C54" s="21"/>
      <c r="D54" s="21"/>
      <c r="E54" s="21"/>
      <c r="F54" s="21"/>
      <c r="G54" s="21"/>
      <c r="H54" s="22"/>
    </row>
    <row r="55" ht="15.75" customHeight="1">
      <c r="A55" s="71" t="s">
        <v>206</v>
      </c>
      <c r="B55" s="5"/>
      <c r="C55" s="5"/>
      <c r="D55" s="5"/>
      <c r="E55" s="5"/>
      <c r="F55" s="5"/>
      <c r="G55" s="5"/>
      <c r="H55" s="5"/>
    </row>
    <row r="56" ht="15.75" customHeight="1">
      <c r="A56" s="54" t="s">
        <v>207</v>
      </c>
      <c r="B56" s="21"/>
      <c r="C56" s="21"/>
      <c r="D56" s="21"/>
      <c r="E56" s="21"/>
      <c r="F56" s="21"/>
      <c r="G56" s="21"/>
      <c r="H56" s="22"/>
    </row>
    <row r="57" ht="15.75" customHeight="1">
      <c r="A57" s="94" t="s">
        <v>258</v>
      </c>
      <c r="B57" s="49"/>
      <c r="C57" s="49"/>
      <c r="D57" s="49"/>
      <c r="E57" s="49"/>
      <c r="F57" s="49"/>
      <c r="G57" s="49"/>
      <c r="H57" s="50"/>
    </row>
    <row r="58" ht="15.75" customHeight="1">
      <c r="A58" s="72"/>
      <c r="H58" s="73"/>
    </row>
    <row r="59" ht="15.75" customHeight="1">
      <c r="A59" s="51"/>
      <c r="B59" s="52"/>
      <c r="C59" s="52"/>
      <c r="D59" s="52"/>
      <c r="E59" s="52"/>
      <c r="F59" s="52"/>
      <c r="G59" s="52"/>
      <c r="H59" s="53"/>
    </row>
    <row r="60" ht="15.75" customHeight="1"/>
    <row r="61" ht="15.75" customHeight="1">
      <c r="A61" s="28" t="s">
        <v>209</v>
      </c>
    </row>
    <row r="62">
      <c r="A62" s="33" t="s">
        <v>203</v>
      </c>
      <c r="B62" s="34" t="s">
        <v>92</v>
      </c>
      <c r="C62" s="21"/>
      <c r="D62" s="21"/>
      <c r="E62" s="21"/>
      <c r="F62" s="21"/>
      <c r="G62" s="21"/>
      <c r="H62" s="22"/>
    </row>
    <row r="63" ht="15.75" customHeight="1">
      <c r="A63" s="33" t="s">
        <v>204</v>
      </c>
      <c r="B63" s="20"/>
      <c r="C63" s="21"/>
      <c r="D63" s="21"/>
      <c r="E63" s="21"/>
      <c r="F63" s="21"/>
      <c r="G63" s="21"/>
      <c r="H63" s="22"/>
    </row>
    <row r="64" ht="15.75" customHeight="1">
      <c r="A64" s="33" t="s">
        <v>171</v>
      </c>
      <c r="B64" s="70"/>
      <c r="C64" s="21"/>
      <c r="D64" s="21"/>
      <c r="E64" s="21"/>
      <c r="F64" s="21"/>
      <c r="G64" s="21"/>
      <c r="H64" s="22"/>
    </row>
    <row r="65" ht="15.75" customHeight="1">
      <c r="A65" s="33" t="s">
        <v>129</v>
      </c>
      <c r="B65" s="70"/>
      <c r="C65" s="21"/>
      <c r="D65" s="21"/>
      <c r="E65" s="21"/>
      <c r="F65" s="21"/>
      <c r="G65" s="21"/>
      <c r="H65" s="22"/>
    </row>
    <row r="66" ht="15.75" customHeight="1">
      <c r="A66" s="74" t="s">
        <v>210</v>
      </c>
      <c r="B66" s="5"/>
      <c r="C66" s="5"/>
      <c r="D66" s="5"/>
      <c r="E66" s="5"/>
      <c r="F66" s="5"/>
      <c r="G66" s="5"/>
      <c r="H66" s="5"/>
    </row>
    <row r="67" ht="15.75" customHeight="1">
      <c r="A67" s="54" t="s">
        <v>207</v>
      </c>
      <c r="B67" s="21"/>
      <c r="C67" s="21"/>
      <c r="D67" s="21"/>
      <c r="E67" s="21"/>
      <c r="F67" s="21"/>
      <c r="G67" s="21"/>
      <c r="H67" s="22"/>
    </row>
    <row r="68" ht="15.75" customHeight="1">
      <c r="A68" s="77"/>
      <c r="B68" s="49"/>
      <c r="C68" s="49"/>
      <c r="D68" s="49"/>
      <c r="E68" s="49"/>
      <c r="F68" s="49"/>
      <c r="G68" s="49"/>
      <c r="H68" s="50"/>
    </row>
    <row r="69" ht="15.75" customHeight="1">
      <c r="A69" s="72"/>
      <c r="H69" s="73"/>
    </row>
    <row r="70" ht="15.75" customHeight="1">
      <c r="A70" s="51"/>
      <c r="B70" s="52"/>
      <c r="C70" s="52"/>
      <c r="D70" s="52"/>
      <c r="E70" s="52"/>
      <c r="F70" s="52"/>
      <c r="G70" s="52"/>
      <c r="H70" s="53"/>
    </row>
    <row r="71" ht="15.75" customHeight="1"/>
    <row r="72" ht="15.75" customHeight="1">
      <c r="A72" s="45" t="s">
        <v>212</v>
      </c>
      <c r="G72" s="39" t="s">
        <v>129</v>
      </c>
      <c r="H72" s="55">
        <v>10.0</v>
      </c>
    </row>
    <row r="73" ht="15.75" customHeight="1">
      <c r="G73" s="28" t="s">
        <v>213</v>
      </c>
    </row>
    <row r="74" ht="15.75" customHeight="1">
      <c r="A74" s="33" t="s">
        <v>129</v>
      </c>
      <c r="B74" s="75">
        <v>10.0</v>
      </c>
      <c r="C74" s="21"/>
      <c r="D74" s="21"/>
      <c r="E74" s="21"/>
      <c r="F74" s="21"/>
      <c r="G74" s="21"/>
      <c r="H74" s="22"/>
    </row>
    <row r="75" ht="15.75" customHeight="1">
      <c r="A75" s="69" t="s">
        <v>214</v>
      </c>
      <c r="B75" s="21"/>
      <c r="C75" s="21"/>
      <c r="D75" s="21"/>
      <c r="E75" s="21"/>
      <c r="F75" s="21"/>
      <c r="G75" s="21"/>
      <c r="H75" s="22"/>
    </row>
    <row r="76" ht="15.75" customHeight="1">
      <c r="A76" s="48" t="s">
        <v>259</v>
      </c>
      <c r="B76" s="49"/>
      <c r="C76" s="49"/>
      <c r="D76" s="49"/>
      <c r="E76" s="49"/>
      <c r="F76" s="49"/>
      <c r="G76" s="49"/>
      <c r="H76" s="50"/>
    </row>
    <row r="77" ht="15.75" customHeight="1">
      <c r="A77" s="51"/>
      <c r="B77" s="52"/>
      <c r="C77" s="52"/>
      <c r="D77" s="52"/>
      <c r="E77" s="52"/>
      <c r="F77" s="52"/>
      <c r="G77" s="52"/>
      <c r="H77" s="53"/>
    </row>
    <row r="78" ht="15.75" customHeight="1">
      <c r="A78" s="28" t="s">
        <v>216</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6">
    <mergeCell ref="D37:E37"/>
    <mergeCell ref="F37:H37"/>
    <mergeCell ref="B35:C35"/>
    <mergeCell ref="D35:E35"/>
    <mergeCell ref="F35:H35"/>
    <mergeCell ref="B36:C36"/>
    <mergeCell ref="D36:E36"/>
    <mergeCell ref="F36:H36"/>
    <mergeCell ref="B37:C37"/>
    <mergeCell ref="B38:C38"/>
    <mergeCell ref="D38:E38"/>
    <mergeCell ref="F38:H38"/>
    <mergeCell ref="B39:C39"/>
    <mergeCell ref="D39:E39"/>
    <mergeCell ref="F39:H39"/>
    <mergeCell ref="D42:H42"/>
    <mergeCell ref="D43:H43"/>
    <mergeCell ref="D44:H44"/>
    <mergeCell ref="D45:H45"/>
    <mergeCell ref="D46:H46"/>
    <mergeCell ref="A48:F48"/>
    <mergeCell ref="B51:H51"/>
    <mergeCell ref="B52:H52"/>
    <mergeCell ref="B65:H65"/>
    <mergeCell ref="A67:H67"/>
    <mergeCell ref="A68:H70"/>
    <mergeCell ref="A72:F72"/>
    <mergeCell ref="B74:H74"/>
    <mergeCell ref="A75:H75"/>
    <mergeCell ref="A76:H77"/>
    <mergeCell ref="B53:H53"/>
    <mergeCell ref="B54:H54"/>
    <mergeCell ref="A56:H56"/>
    <mergeCell ref="A57:H59"/>
    <mergeCell ref="B62:H62"/>
    <mergeCell ref="B63:H63"/>
    <mergeCell ref="B64:H6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dataValidations>
    <dataValidation type="list" allowBlank="1" showErrorMessage="1" sqref="B23:B24 B51 B62">
      <formula1>METADATA!$I$17:$I$40</formula1>
    </dataValidation>
    <dataValidation type="list" allowBlank="1" showErrorMessage="1" sqref="B52">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10.0</v>
      </c>
      <c r="D5" s="21"/>
      <c r="E5" s="21"/>
      <c r="F5" s="21"/>
      <c r="G5" s="22"/>
    </row>
    <row r="6" ht="15.75" customHeight="1">
      <c r="B6" s="43" t="s">
        <v>126</v>
      </c>
      <c r="C6" s="20">
        <f>H10+H21+H47+H71</f>
        <v>100</v>
      </c>
      <c r="D6" s="21"/>
      <c r="E6" s="21"/>
      <c r="F6" s="21"/>
      <c r="G6" s="22"/>
      <c r="I6" s="5"/>
    </row>
    <row r="7" ht="15.75" customHeight="1">
      <c r="B7" s="43" t="s">
        <v>171</v>
      </c>
      <c r="C7" s="20">
        <f>B52+B63</f>
        <v>0</v>
      </c>
      <c r="D7" s="21"/>
      <c r="E7" s="21"/>
      <c r="F7" s="21"/>
      <c r="G7" s="22"/>
    </row>
    <row r="8" ht="15.75" customHeight="1">
      <c r="B8" s="43" t="s">
        <v>172</v>
      </c>
      <c r="C8" s="44" t="str">
        <f>IF(H47&lt;=0, "❌ ERROR: La Actividad 1 debe tener un tiempo mayor a 0.", IF(H21&gt;60, "❌ ERROR: El 'Área de Conocimiento' no puede exceder los 60 min.", IF((H10+H21+H47+H71)&lt;100,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46">
        <f>B13</f>
        <v>5</v>
      </c>
    </row>
    <row r="11" ht="15.75" customHeight="1">
      <c r="G11" s="28" t="s">
        <v>174</v>
      </c>
    </row>
    <row r="12" ht="15.75" customHeight="1">
      <c r="A12" s="33" t="s">
        <v>175</v>
      </c>
      <c r="B12" s="17" t="s">
        <v>255</v>
      </c>
      <c r="C12" s="78"/>
      <c r="D12" s="78"/>
      <c r="E12" s="78"/>
      <c r="F12" s="78"/>
      <c r="G12" s="78"/>
      <c r="H12" s="79"/>
    </row>
    <row r="13" ht="15.75" customHeight="1">
      <c r="A13" s="35" t="s">
        <v>129</v>
      </c>
      <c r="B13" s="34">
        <v>5.0</v>
      </c>
      <c r="C13" s="21"/>
      <c r="D13" s="21"/>
      <c r="E13" s="21"/>
      <c r="F13" s="21"/>
      <c r="G13" s="21"/>
      <c r="H13" s="22"/>
    </row>
    <row r="14" ht="15.75" customHeight="1">
      <c r="A14" s="54" t="s">
        <v>218</v>
      </c>
      <c r="B14" s="21"/>
      <c r="C14" s="21"/>
      <c r="D14" s="21"/>
      <c r="E14" s="21"/>
      <c r="F14" s="21"/>
      <c r="G14" s="21"/>
      <c r="H14" s="22"/>
    </row>
    <row r="15" ht="15.75" customHeight="1">
      <c r="A15" s="48" t="s">
        <v>260</v>
      </c>
      <c r="B15" s="49"/>
      <c r="C15" s="49"/>
      <c r="D15" s="49"/>
      <c r="E15" s="49"/>
      <c r="F15" s="49"/>
      <c r="G15" s="49"/>
      <c r="H15" s="50"/>
    </row>
    <row r="16" ht="45.0" customHeight="1">
      <c r="A16" s="51"/>
      <c r="B16" s="52"/>
      <c r="C16" s="52"/>
      <c r="D16" s="52"/>
      <c r="E16" s="52"/>
      <c r="F16" s="52"/>
      <c r="G16" s="52"/>
      <c r="H16" s="53"/>
    </row>
    <row r="17" ht="15.75" customHeight="1">
      <c r="A17" s="54" t="s">
        <v>179</v>
      </c>
      <c r="B17" s="21"/>
      <c r="C17" s="21"/>
      <c r="D17" s="21"/>
      <c r="E17" s="21"/>
      <c r="F17" s="21"/>
      <c r="G17" s="21"/>
      <c r="H17" s="22"/>
    </row>
    <row r="18" ht="15.75" customHeight="1">
      <c r="A18" s="48" t="s">
        <v>261</v>
      </c>
      <c r="B18" s="49"/>
      <c r="C18" s="49"/>
      <c r="D18" s="49"/>
      <c r="E18" s="49"/>
      <c r="F18" s="49"/>
      <c r="G18" s="49"/>
      <c r="H18" s="50"/>
    </row>
    <row r="19" ht="47.25" customHeight="1">
      <c r="A19" s="51"/>
      <c r="B19" s="52"/>
      <c r="C19" s="52"/>
      <c r="D19" s="52"/>
      <c r="E19" s="52"/>
      <c r="F19" s="52"/>
      <c r="G19" s="52"/>
      <c r="H19" s="53"/>
    </row>
    <row r="20" ht="15.75" customHeight="1"/>
    <row r="21" ht="15.75" customHeight="1">
      <c r="A21" s="45" t="s">
        <v>181</v>
      </c>
      <c r="G21" s="39" t="s">
        <v>129</v>
      </c>
      <c r="H21" s="46">
        <f>SUM(D42:H45)</f>
        <v>60</v>
      </c>
      <c r="I21" s="5"/>
    </row>
    <row r="22" ht="15.75" customHeight="1">
      <c r="G22" s="28" t="s">
        <v>182</v>
      </c>
    </row>
    <row r="23" ht="15.75" customHeight="1">
      <c r="A23" s="33" t="s">
        <v>183</v>
      </c>
      <c r="B23" s="34" t="s">
        <v>108</v>
      </c>
      <c r="C23" s="21"/>
      <c r="D23" s="21"/>
      <c r="E23" s="21"/>
      <c r="F23" s="21"/>
      <c r="G23" s="21"/>
      <c r="H23" s="22"/>
    </row>
    <row r="24" ht="15.75" customHeight="1">
      <c r="A24" s="33" t="s">
        <v>183</v>
      </c>
      <c r="B24" s="34" t="s">
        <v>84</v>
      </c>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IFERROR(__xludf.DUMMYFUNCTION("FILTER('Diseño'!D:D,'Diseño'!H:H=$C$5)"),"Unidad 6: Modelos mentales y paradigmas")</f>
        <v>Unidad 6: Modelos mentales y paradigmas</v>
      </c>
      <c r="C28" s="22"/>
      <c r="D28" s="20" t="str">
        <f>IFERROR(__xludf.DUMMYFUNCTION("FILTER('Diseño'!E:E,'Diseño'!H:H=$C$5)"),"Paradigmas")</f>
        <v>Paradigmas</v>
      </c>
      <c r="E28" s="22"/>
      <c r="F28" s="20" t="str">
        <f>IFERROR(__xludf.DUMMYFUNCTION("FILTER('Diseño'!F:F,'Diseño'!H:H=$C$5)"),"¿Que es un paradigma?")</f>
        <v>¿Que es un paradigma?</v>
      </c>
      <c r="G28" s="21"/>
      <c r="H28" s="22"/>
    </row>
    <row r="29" ht="15.75" customHeight="1">
      <c r="A29" s="23">
        <v>2.0</v>
      </c>
      <c r="B29" s="20" t="str">
        <f>IFERROR(__xludf.DUMMYFUNCTION("""COMPUTED_VALUE"""),"Unidad 6: Modelos mentales y paradigmas")</f>
        <v>Unidad 6: Modelos mentales y paradigmas</v>
      </c>
      <c r="C29" s="22"/>
      <c r="D29" s="20" t="str">
        <f>IFERROR(__xludf.DUMMYFUNCTION("""COMPUTED_VALUE"""),"Paradigmas")</f>
        <v>Paradigmas</v>
      </c>
      <c r="E29" s="22"/>
      <c r="F29" s="20" t="str">
        <f>IFERROR(__xludf.DUMMYFUNCTION("""COMPUTED_VALUE"""),"Características y aspectos externos e internos del ser humano que determinan los paradigmas")</f>
        <v>Características y aspectos externos e internos del ser humano que determinan los paradigmas</v>
      </c>
      <c r="G29" s="21"/>
      <c r="H29" s="22"/>
    </row>
    <row r="30" ht="15.75" customHeight="1">
      <c r="A30" s="23">
        <v>3.0</v>
      </c>
      <c r="B30" s="20" t="str">
        <f>IFERROR(__xludf.DUMMYFUNCTION("""COMPUTED_VALUE"""),"Unidad 6: Modelos mentales y paradigmas")</f>
        <v>Unidad 6: Modelos mentales y paradigmas</v>
      </c>
      <c r="C30" s="22"/>
      <c r="D30" s="20" t="str">
        <f>IFERROR(__xludf.DUMMYFUNCTION("""COMPUTED_VALUE"""),"Paradigmas")</f>
        <v>Paradigmas</v>
      </c>
      <c r="E30" s="22"/>
      <c r="F30" s="20" t="str">
        <f>IFERROR(__xludf.DUMMYFUNCTION("""COMPUTED_VALUE"""),"Historia de los paradigmas")</f>
        <v>Historia de los paradigmas</v>
      </c>
      <c r="G30" s="21"/>
      <c r="H30" s="22"/>
    </row>
    <row r="31" ht="15.75" customHeight="1">
      <c r="A31" s="23">
        <v>4.0</v>
      </c>
      <c r="B31" s="20" t="str">
        <f>IFERROR(__xludf.DUMMYFUNCTION("""COMPUTED_VALUE"""),"Unidad 6: Modelos mentales y paradigmas")</f>
        <v>Unidad 6: Modelos mentales y paradigmas</v>
      </c>
      <c r="C31" s="22"/>
      <c r="D31" s="20" t="str">
        <f>IFERROR(__xludf.DUMMYFUNCTION("""COMPUTED_VALUE"""),"Paradigmas")</f>
        <v>Paradigmas</v>
      </c>
      <c r="E31" s="22"/>
      <c r="F31" s="20" t="str">
        <f>IFERROR(__xludf.DUMMYFUNCTION("""COMPUTED_VALUE"""),"Consecuencia del uso de paradigmas")</f>
        <v>Consecuencia del uso de paradigmas</v>
      </c>
      <c r="G31" s="21"/>
      <c r="H31" s="22"/>
    </row>
    <row r="32" ht="15.75" customHeight="1">
      <c r="A32" s="23">
        <v>5.0</v>
      </c>
      <c r="B32" s="20" t="str">
        <f>IFERROR(__xludf.DUMMYFUNCTION("""COMPUTED_VALUE"""),"Unidad 6: Modelos mentales y paradigmas")</f>
        <v>Unidad 6: Modelos mentales y paradigmas</v>
      </c>
      <c r="C32" s="22"/>
      <c r="D32" s="20" t="str">
        <f>IFERROR(__xludf.DUMMYFUNCTION("""COMPUTED_VALUE"""),"Paradigmas")</f>
        <v>Paradigmas</v>
      </c>
      <c r="E32" s="22"/>
      <c r="F32" s="20" t="str">
        <f>IFERROR(__xludf.DUMMYFUNCTION("""COMPUTED_VALUE"""),"Efecto paradigma")</f>
        <v>Efecto paradigma</v>
      </c>
      <c r="G32" s="21"/>
      <c r="H32" s="22"/>
    </row>
    <row r="33" ht="15.75" customHeight="1">
      <c r="A33" s="23">
        <v>6.0</v>
      </c>
      <c r="B33" s="20" t="str">
        <f>IFERROR(__xludf.DUMMYFUNCTION("""COMPUTED_VALUE"""),"Unidad 6: Modelos mentales y paradigmas")</f>
        <v>Unidad 6: Modelos mentales y paradigmas</v>
      </c>
      <c r="C33" s="22"/>
      <c r="D33" s="20" t="str">
        <f>IFERROR(__xludf.DUMMYFUNCTION("""COMPUTED_VALUE"""),"Modelos Mentales")</f>
        <v>Modelos Mentales</v>
      </c>
      <c r="E33" s="22"/>
      <c r="F33" s="20" t="str">
        <f>IFERROR(__xludf.DUMMYFUNCTION("""COMPUTED_VALUE"""),"Imagenes multiestables")</f>
        <v>Imagenes multiestables</v>
      </c>
      <c r="G33" s="21"/>
      <c r="H33" s="22"/>
    </row>
    <row r="34" ht="15.75" customHeight="1">
      <c r="A34" s="23">
        <v>7.0</v>
      </c>
      <c r="B34" s="20" t="str">
        <f>IFERROR(__xludf.DUMMYFUNCTION("""COMPUTED_VALUE"""),"Unidad 6: Modelos mentales y paradigmas")</f>
        <v>Unidad 6: Modelos mentales y paradigmas</v>
      </c>
      <c r="C34" s="22"/>
      <c r="D34" s="20" t="str">
        <f>IFERROR(__xludf.DUMMYFUNCTION("""COMPUTED_VALUE"""),"Modelos Mentales")</f>
        <v>Modelos Mentales</v>
      </c>
      <c r="E34" s="22"/>
      <c r="F34" s="20" t="str">
        <f>IFERROR(__xludf.DUMMYFUNCTION("""COMPUTED_VALUE"""),"Polisemia")</f>
        <v>Polisemia</v>
      </c>
      <c r="G34" s="21"/>
      <c r="H34" s="22"/>
    </row>
    <row r="35" ht="15.75" customHeight="1">
      <c r="A35" s="23">
        <v>8.0</v>
      </c>
      <c r="B35" s="20" t="str">
        <f>IFERROR(__xludf.DUMMYFUNCTION("""COMPUTED_VALUE"""),"Unidad 6: Modelos mentales y paradigmas")</f>
        <v>Unidad 6: Modelos mentales y paradigmas</v>
      </c>
      <c r="C35" s="22"/>
      <c r="D35" s="20" t="str">
        <f>IFERROR(__xludf.DUMMYFUNCTION("""COMPUTED_VALUE"""),"Modelos Mentales")</f>
        <v>Modelos Mentales</v>
      </c>
      <c r="E35" s="22"/>
      <c r="F35" s="20" t="str">
        <f>IFERROR(__xludf.DUMMYFUNCTION("""COMPUTED_VALUE"""),"Polisemia cultural")</f>
        <v>Polisemia cultural</v>
      </c>
      <c r="G35" s="21"/>
      <c r="H35" s="22"/>
    </row>
    <row r="36" ht="15.75" customHeight="1">
      <c r="A36" s="23">
        <v>9.0</v>
      </c>
      <c r="B36" s="20" t="str">
        <f>IFERROR(__xludf.DUMMYFUNCTION("""COMPUTED_VALUE"""),"Unidad 6: Modelos mentales y paradigmas")</f>
        <v>Unidad 6: Modelos mentales y paradigmas</v>
      </c>
      <c r="C36" s="22"/>
      <c r="D36" s="20" t="str">
        <f>IFERROR(__xludf.DUMMYFUNCTION("""COMPUTED_VALUE"""),"Modelos Mentales")</f>
        <v>Modelos Mentales</v>
      </c>
      <c r="E36" s="22"/>
      <c r="F36" s="20" t="str">
        <f>IFERROR(__xludf.DUMMYFUNCTION("""COMPUTED_VALUE"""),"La certeza")</f>
        <v>La certeza</v>
      </c>
      <c r="G36" s="21"/>
      <c r="H36" s="22"/>
    </row>
    <row r="37" ht="15.75" customHeight="1">
      <c r="A37" s="23">
        <v>10.0</v>
      </c>
      <c r="B37" s="20" t="str">
        <f>IFERROR(__xludf.DUMMYFUNCTION("""COMPUTED_VALUE"""),"Unidad 6: Modelos mentales y paradigmas")</f>
        <v>Unidad 6: Modelos mentales y paradigmas</v>
      </c>
      <c r="C37" s="22"/>
      <c r="D37" s="20" t="str">
        <f>IFERROR(__xludf.DUMMYFUNCTION("""COMPUTED_VALUE"""),"Modelos Mentales")</f>
        <v>Modelos Mentales</v>
      </c>
      <c r="E37" s="22"/>
      <c r="F37" s="20" t="str">
        <f>IFERROR(__xludf.DUMMYFUNCTION("""COMPUTED_VALUE"""),"El humor")</f>
        <v>El humor</v>
      </c>
      <c r="G37" s="21"/>
      <c r="H37" s="22"/>
    </row>
    <row r="38" ht="15.75" customHeight="1"/>
    <row r="39" ht="15.75" customHeight="1">
      <c r="A39" s="56" t="s">
        <v>188</v>
      </c>
    </row>
    <row r="40" ht="15.75" customHeight="1">
      <c r="A40" s="5"/>
      <c r="B40" s="5"/>
      <c r="C40" s="5"/>
      <c r="D40" s="5"/>
      <c r="E40" s="5"/>
      <c r="F40" s="5"/>
      <c r="G40" s="5"/>
      <c r="H40" s="5"/>
    </row>
    <row r="41" ht="15.75" customHeight="1">
      <c r="A41" s="57" t="s">
        <v>189</v>
      </c>
      <c r="B41" s="57" t="s">
        <v>190</v>
      </c>
      <c r="C41" s="68" t="s">
        <v>191</v>
      </c>
      <c r="D41" s="69" t="s">
        <v>129</v>
      </c>
      <c r="E41" s="21"/>
      <c r="F41" s="21"/>
      <c r="G41" s="21"/>
      <c r="H41" s="22"/>
    </row>
    <row r="42" ht="15.75" customHeight="1">
      <c r="A42" s="23" t="s">
        <v>192</v>
      </c>
      <c r="B42" s="23" t="s">
        <v>193</v>
      </c>
      <c r="C42" s="62" t="s">
        <v>262</v>
      </c>
      <c r="D42" s="34">
        <v>25.0</v>
      </c>
      <c r="E42" s="21"/>
      <c r="F42" s="21"/>
      <c r="G42" s="21"/>
      <c r="H42" s="22"/>
    </row>
    <row r="43" ht="15.75" customHeight="1">
      <c r="A43" s="23" t="s">
        <v>195</v>
      </c>
      <c r="B43" s="23" t="s">
        <v>193</v>
      </c>
      <c r="C43" s="62" t="s">
        <v>245</v>
      </c>
      <c r="D43" s="34">
        <v>10.0</v>
      </c>
      <c r="E43" s="21"/>
      <c r="F43" s="21"/>
      <c r="G43" s="21"/>
      <c r="H43" s="22"/>
    </row>
    <row r="44" ht="15.75" customHeight="1">
      <c r="A44" s="23" t="s">
        <v>197</v>
      </c>
      <c r="B44" s="23" t="s">
        <v>198</v>
      </c>
      <c r="C44" s="23"/>
      <c r="D44" s="20"/>
      <c r="E44" s="21"/>
      <c r="F44" s="21"/>
      <c r="G44" s="21"/>
      <c r="H44" s="22"/>
    </row>
    <row r="45" ht="15.75" customHeight="1">
      <c r="A45" s="23" t="s">
        <v>199</v>
      </c>
      <c r="B45" s="23" t="s">
        <v>193</v>
      </c>
      <c r="C45" s="62" t="s">
        <v>246</v>
      </c>
      <c r="D45" s="34">
        <v>25.0</v>
      </c>
      <c r="E45" s="21"/>
      <c r="F45" s="21"/>
      <c r="G45" s="21"/>
      <c r="H45" s="22"/>
    </row>
    <row r="46" ht="15.75" customHeight="1"/>
    <row r="47" ht="15.75" customHeight="1">
      <c r="A47" s="45" t="s">
        <v>200</v>
      </c>
      <c r="G47" s="39" t="s">
        <v>129</v>
      </c>
      <c r="H47" s="46">
        <f>B53</f>
        <v>30</v>
      </c>
    </row>
    <row r="48" ht="15.75" customHeight="1">
      <c r="G48" s="28" t="s">
        <v>201</v>
      </c>
    </row>
    <row r="49" ht="15.75" customHeight="1">
      <c r="A49" s="28" t="s">
        <v>202</v>
      </c>
    </row>
    <row r="50">
      <c r="A50" s="33" t="s">
        <v>203</v>
      </c>
      <c r="B50" s="34" t="s">
        <v>84</v>
      </c>
      <c r="C50" s="21"/>
      <c r="D50" s="21"/>
      <c r="E50" s="21"/>
      <c r="F50" s="21"/>
      <c r="G50" s="21"/>
      <c r="H50" s="22"/>
    </row>
    <row r="51" ht="15.75" customHeight="1">
      <c r="A51" s="33" t="s">
        <v>204</v>
      </c>
      <c r="B51" s="20" t="s">
        <v>205</v>
      </c>
      <c r="C51" s="21"/>
      <c r="D51" s="21"/>
      <c r="E51" s="21"/>
      <c r="F51" s="21"/>
      <c r="G51" s="21"/>
      <c r="H51" s="22"/>
    </row>
    <row r="52" ht="15.75" customHeight="1">
      <c r="A52" s="33" t="s">
        <v>171</v>
      </c>
      <c r="B52" s="70">
        <v>0.0</v>
      </c>
      <c r="C52" s="21"/>
      <c r="D52" s="21"/>
      <c r="E52" s="21"/>
      <c r="F52" s="21"/>
      <c r="G52" s="21"/>
      <c r="H52" s="22"/>
    </row>
    <row r="53" ht="15.75" customHeight="1">
      <c r="A53" s="33" t="s">
        <v>129</v>
      </c>
      <c r="B53" s="34">
        <v>30.0</v>
      </c>
      <c r="C53" s="21"/>
      <c r="D53" s="21"/>
      <c r="E53" s="21"/>
      <c r="F53" s="21"/>
      <c r="G53" s="21"/>
      <c r="H53" s="22"/>
    </row>
    <row r="54" ht="15.75" customHeight="1">
      <c r="A54" s="71" t="s">
        <v>206</v>
      </c>
      <c r="B54" s="5"/>
      <c r="C54" s="5"/>
      <c r="D54" s="5"/>
      <c r="E54" s="5"/>
      <c r="F54" s="5"/>
      <c r="G54" s="5"/>
      <c r="H54" s="5"/>
    </row>
    <row r="55" ht="15.75" customHeight="1">
      <c r="A55" s="54" t="s">
        <v>207</v>
      </c>
      <c r="B55" s="21"/>
      <c r="C55" s="21"/>
      <c r="D55" s="21"/>
      <c r="E55" s="21"/>
      <c r="F55" s="21"/>
      <c r="G55" s="21"/>
      <c r="H55" s="22"/>
    </row>
    <row r="56" ht="15.75" customHeight="1">
      <c r="A56" s="48" t="s">
        <v>263</v>
      </c>
      <c r="B56" s="49"/>
      <c r="C56" s="49"/>
      <c r="D56" s="49"/>
      <c r="E56" s="49"/>
      <c r="F56" s="49"/>
      <c r="G56" s="49"/>
      <c r="H56" s="50"/>
    </row>
    <row r="57" ht="15.75" customHeight="1">
      <c r="A57" s="72"/>
      <c r="H57" s="73"/>
    </row>
    <row r="58" ht="150.0" customHeight="1">
      <c r="A58" s="51"/>
      <c r="B58" s="52"/>
      <c r="C58" s="52"/>
      <c r="D58" s="52"/>
      <c r="E58" s="52"/>
      <c r="F58" s="52"/>
      <c r="G58" s="52"/>
      <c r="H58" s="53"/>
    </row>
    <row r="59" ht="15.75" customHeight="1"/>
    <row r="60" ht="15.75" customHeight="1">
      <c r="A60" s="28" t="s">
        <v>209</v>
      </c>
    </row>
    <row r="61">
      <c r="A61" s="33" t="s">
        <v>203</v>
      </c>
      <c r="B61" s="20"/>
      <c r="C61" s="21"/>
      <c r="D61" s="21"/>
      <c r="E61" s="21"/>
      <c r="F61" s="21"/>
      <c r="G61" s="21"/>
      <c r="H61" s="22"/>
    </row>
    <row r="62" ht="15.75" customHeight="1">
      <c r="A62" s="33" t="s">
        <v>204</v>
      </c>
      <c r="B62" s="20"/>
      <c r="C62" s="21"/>
      <c r="D62" s="21"/>
      <c r="E62" s="21"/>
      <c r="F62" s="21"/>
      <c r="G62" s="21"/>
      <c r="H62" s="22"/>
    </row>
    <row r="63" ht="15.75" customHeight="1">
      <c r="A63" s="33" t="s">
        <v>171</v>
      </c>
      <c r="B63" s="70"/>
      <c r="C63" s="21"/>
      <c r="D63" s="21"/>
      <c r="E63" s="21"/>
      <c r="F63" s="21"/>
      <c r="G63" s="21"/>
      <c r="H63" s="22"/>
    </row>
    <row r="64" ht="15.75" customHeight="1">
      <c r="A64" s="33" t="s">
        <v>129</v>
      </c>
      <c r="B64" s="70"/>
      <c r="C64" s="21"/>
      <c r="D64" s="21"/>
      <c r="E64" s="21"/>
      <c r="F64" s="21"/>
      <c r="G64" s="21"/>
      <c r="H64" s="22"/>
    </row>
    <row r="65" ht="15.75" customHeight="1">
      <c r="A65" s="74" t="s">
        <v>210</v>
      </c>
      <c r="B65" s="5"/>
      <c r="C65" s="5"/>
      <c r="D65" s="5"/>
      <c r="E65" s="5"/>
      <c r="F65" s="5"/>
      <c r="G65" s="5"/>
      <c r="H65" s="5"/>
    </row>
    <row r="66" ht="15.75" customHeight="1">
      <c r="A66" s="54" t="s">
        <v>207</v>
      </c>
      <c r="B66" s="21"/>
      <c r="C66" s="21"/>
      <c r="D66" s="21"/>
      <c r="E66" s="21"/>
      <c r="F66" s="21"/>
      <c r="G66" s="21"/>
      <c r="H66" s="22"/>
    </row>
    <row r="67" ht="15.75" customHeight="1">
      <c r="A67" s="77"/>
      <c r="B67" s="49"/>
      <c r="C67" s="49"/>
      <c r="D67" s="49"/>
      <c r="E67" s="49"/>
      <c r="F67" s="49"/>
      <c r="G67" s="49"/>
      <c r="H67" s="50"/>
    </row>
    <row r="68" ht="15.75" customHeight="1">
      <c r="A68" s="72"/>
      <c r="H68" s="73"/>
    </row>
    <row r="69" ht="15.75" customHeight="1">
      <c r="A69" s="51"/>
      <c r="B69" s="52"/>
      <c r="C69" s="52"/>
      <c r="D69" s="52"/>
      <c r="E69" s="52"/>
      <c r="F69" s="52"/>
      <c r="G69" s="52"/>
      <c r="H69" s="53"/>
    </row>
    <row r="70" ht="15.75" customHeight="1"/>
    <row r="71" ht="15.75" customHeight="1">
      <c r="A71" s="45" t="s">
        <v>212</v>
      </c>
      <c r="G71" s="39" t="s">
        <v>129</v>
      </c>
      <c r="H71" s="46">
        <f>B73</f>
        <v>5</v>
      </c>
    </row>
    <row r="72" ht="15.75" customHeight="1">
      <c r="G72" s="28" t="s">
        <v>213</v>
      </c>
    </row>
    <row r="73" ht="15.75" customHeight="1">
      <c r="A73" s="33" t="s">
        <v>129</v>
      </c>
      <c r="B73" s="75">
        <v>5.0</v>
      </c>
      <c r="C73" s="21"/>
      <c r="D73" s="21"/>
      <c r="E73" s="21"/>
      <c r="F73" s="21"/>
      <c r="G73" s="21"/>
      <c r="H73" s="22"/>
    </row>
    <row r="74" ht="15.75" customHeight="1">
      <c r="A74" s="69" t="s">
        <v>214</v>
      </c>
      <c r="B74" s="21"/>
      <c r="C74" s="21"/>
      <c r="D74" s="21"/>
      <c r="E74" s="21"/>
      <c r="F74" s="21"/>
      <c r="G74" s="21"/>
      <c r="H74" s="22"/>
    </row>
    <row r="75" ht="15.75" customHeight="1">
      <c r="A75" s="48" t="s">
        <v>248</v>
      </c>
      <c r="B75" s="49"/>
      <c r="C75" s="49"/>
      <c r="D75" s="49"/>
      <c r="E75" s="49"/>
      <c r="F75" s="49"/>
      <c r="G75" s="49"/>
      <c r="H75" s="50"/>
    </row>
    <row r="76" ht="15.75" customHeight="1">
      <c r="A76" s="51"/>
      <c r="B76" s="52"/>
      <c r="C76" s="52"/>
      <c r="D76" s="52"/>
      <c r="E76" s="52"/>
      <c r="F76" s="52"/>
      <c r="G76" s="52"/>
      <c r="H76" s="53"/>
    </row>
    <row r="77" ht="15.75" customHeight="1">
      <c r="A77" s="28" t="s">
        <v>216</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9">
    <mergeCell ref="D35:E35"/>
    <mergeCell ref="F35:H35"/>
    <mergeCell ref="B33:C33"/>
    <mergeCell ref="D33:E33"/>
    <mergeCell ref="F33:H33"/>
    <mergeCell ref="B34:C34"/>
    <mergeCell ref="D34:E34"/>
    <mergeCell ref="F34:H34"/>
    <mergeCell ref="B35:C35"/>
    <mergeCell ref="D42:H42"/>
    <mergeCell ref="D43:H43"/>
    <mergeCell ref="D44:H44"/>
    <mergeCell ref="D45:H45"/>
    <mergeCell ref="A47:F47"/>
    <mergeCell ref="B50:H50"/>
    <mergeCell ref="B51:H51"/>
    <mergeCell ref="B64:H64"/>
    <mergeCell ref="A66:H66"/>
    <mergeCell ref="A67:H69"/>
    <mergeCell ref="A71:F71"/>
    <mergeCell ref="B73:H73"/>
    <mergeCell ref="A74:H74"/>
    <mergeCell ref="A75:H76"/>
    <mergeCell ref="B52:H52"/>
    <mergeCell ref="B53:H53"/>
    <mergeCell ref="A55:H55"/>
    <mergeCell ref="A56:H58"/>
    <mergeCell ref="B61:H61"/>
    <mergeCell ref="B62:H62"/>
    <mergeCell ref="B63:H63"/>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6:C36"/>
    <mergeCell ref="D36:E36"/>
    <mergeCell ref="F36:H36"/>
    <mergeCell ref="B37:C37"/>
    <mergeCell ref="D37:E37"/>
    <mergeCell ref="F37:H37"/>
    <mergeCell ref="D41:H41"/>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29.75"/>
  </cols>
  <sheetData>
    <row r="1" ht="15.75" customHeight="1"/>
    <row r="2" ht="15.75" customHeight="1">
      <c r="B2" s="41" t="s">
        <v>170</v>
      </c>
    </row>
    <row r="3" ht="15.75" customHeight="1"/>
    <row r="4" ht="15.75" customHeight="1">
      <c r="B4" s="19" t="s">
        <v>1</v>
      </c>
      <c r="C4" s="42" t="str">
        <f>'Diseño'!C4</f>
        <v>795 - Logica de Sitemas</v>
      </c>
      <c r="D4" s="21"/>
      <c r="E4" s="21"/>
      <c r="F4" s="21"/>
      <c r="G4" s="22"/>
    </row>
    <row r="5" ht="15.75" customHeight="1">
      <c r="B5" s="23" t="s">
        <v>11</v>
      </c>
      <c r="C5" s="20">
        <v>11.0</v>
      </c>
      <c r="D5" s="21"/>
      <c r="E5" s="21"/>
      <c r="F5" s="21"/>
      <c r="G5" s="22"/>
    </row>
    <row r="6" ht="15.75" customHeight="1">
      <c r="B6" s="43" t="s">
        <v>126</v>
      </c>
      <c r="C6" s="20">
        <f>H10+H21+H44+H68</f>
        <v>100</v>
      </c>
      <c r="D6" s="21"/>
      <c r="E6" s="21"/>
      <c r="F6" s="21"/>
      <c r="G6" s="22"/>
      <c r="I6" s="5"/>
    </row>
    <row r="7" ht="15.75" customHeight="1">
      <c r="B7" s="43" t="s">
        <v>171</v>
      </c>
      <c r="C7" s="20">
        <f>B49+B60</f>
        <v>0</v>
      </c>
      <c r="D7" s="21"/>
      <c r="E7" s="21"/>
      <c r="F7" s="21"/>
      <c r="G7" s="22"/>
    </row>
    <row r="8" ht="15.75" customHeight="1">
      <c r="B8" s="43" t="s">
        <v>172</v>
      </c>
      <c r="C8" s="44"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5" t="s">
        <v>173</v>
      </c>
      <c r="G10" s="39" t="s">
        <v>129</v>
      </c>
      <c r="H10" s="46">
        <f>B13</f>
        <v>5</v>
      </c>
    </row>
    <row r="11" ht="15.75" customHeight="1">
      <c r="G11" s="28" t="s">
        <v>174</v>
      </c>
    </row>
    <row r="12" ht="15.75" customHeight="1">
      <c r="A12" s="33" t="s">
        <v>175</v>
      </c>
      <c r="B12" s="34" t="s">
        <v>264</v>
      </c>
      <c r="C12" s="21"/>
      <c r="D12" s="21"/>
      <c r="E12" s="21"/>
      <c r="F12" s="21"/>
      <c r="G12" s="21"/>
      <c r="H12" s="22"/>
    </row>
    <row r="13" ht="15.75" customHeight="1">
      <c r="A13" s="35" t="s">
        <v>129</v>
      </c>
      <c r="B13" s="34">
        <v>5.0</v>
      </c>
      <c r="C13" s="21"/>
      <c r="D13" s="21"/>
      <c r="E13" s="21"/>
      <c r="F13" s="21"/>
      <c r="G13" s="21"/>
      <c r="H13" s="22"/>
    </row>
    <row r="14" ht="15.75" customHeight="1">
      <c r="A14" s="47" t="s">
        <v>265</v>
      </c>
      <c r="B14" s="21"/>
      <c r="C14" s="21"/>
      <c r="D14" s="21"/>
      <c r="E14" s="21"/>
      <c r="F14" s="21"/>
      <c r="G14" s="21"/>
      <c r="H14" s="22"/>
    </row>
    <row r="15" ht="15.75" customHeight="1">
      <c r="A15" s="48" t="s">
        <v>266</v>
      </c>
      <c r="B15" s="49"/>
      <c r="C15" s="49"/>
      <c r="D15" s="49"/>
      <c r="E15" s="49"/>
      <c r="F15" s="49"/>
      <c r="G15" s="49"/>
      <c r="H15" s="50"/>
    </row>
    <row r="16" ht="15.75" customHeight="1">
      <c r="A16" s="51"/>
      <c r="B16" s="52"/>
      <c r="C16" s="52"/>
      <c r="D16" s="52"/>
      <c r="E16" s="52"/>
      <c r="F16" s="52"/>
      <c r="G16" s="52"/>
      <c r="H16" s="53"/>
    </row>
    <row r="17" ht="15.75" customHeight="1">
      <c r="A17" s="54" t="s">
        <v>179</v>
      </c>
      <c r="B17" s="21"/>
      <c r="C17" s="21"/>
      <c r="D17" s="21"/>
      <c r="E17" s="21"/>
      <c r="F17" s="21"/>
      <c r="G17" s="21"/>
      <c r="H17" s="22"/>
    </row>
    <row r="18" ht="15.75" customHeight="1">
      <c r="A18" s="88" t="s">
        <v>267</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181</v>
      </c>
      <c r="G21" s="39" t="s">
        <v>129</v>
      </c>
      <c r="H21" s="46">
        <f>SUM(D39:H42)</f>
        <v>60</v>
      </c>
      <c r="I21" s="5"/>
    </row>
    <row r="22" ht="15.75" customHeight="1">
      <c r="G22" s="28" t="s">
        <v>182</v>
      </c>
    </row>
    <row r="23" ht="15.75" customHeight="1">
      <c r="A23" s="33" t="s">
        <v>183</v>
      </c>
      <c r="B23" s="34" t="s">
        <v>108</v>
      </c>
      <c r="C23" s="21"/>
      <c r="D23" s="21"/>
      <c r="E23" s="21"/>
      <c r="F23" s="21"/>
      <c r="G23" s="21"/>
      <c r="H23" s="22"/>
    </row>
    <row r="24" ht="15.75" customHeight="1">
      <c r="A24" s="33" t="s">
        <v>183</v>
      </c>
      <c r="B24" s="20"/>
      <c r="C24" s="21"/>
      <c r="D24" s="21"/>
      <c r="E24" s="21"/>
      <c r="F24" s="21"/>
      <c r="G24" s="21"/>
      <c r="H24" s="22"/>
    </row>
    <row r="25" ht="15.75" customHeight="1"/>
    <row r="26" ht="15.75" customHeight="1">
      <c r="A26" s="56" t="s">
        <v>184</v>
      </c>
      <c r="B26" s="5"/>
      <c r="C26" s="5"/>
      <c r="D26" s="5"/>
    </row>
    <row r="27" ht="15.75" customHeight="1">
      <c r="A27" s="57" t="s">
        <v>5</v>
      </c>
      <c r="B27" s="58" t="s">
        <v>185</v>
      </c>
      <c r="C27" s="22"/>
      <c r="D27" s="58" t="s">
        <v>186</v>
      </c>
      <c r="E27" s="22"/>
      <c r="F27" s="58" t="s">
        <v>187</v>
      </c>
      <c r="G27" s="21"/>
      <c r="H27" s="22"/>
    </row>
    <row r="28" ht="15.75" customHeight="1">
      <c r="A28" s="23">
        <v>1.0</v>
      </c>
      <c r="B28" s="20" t="str">
        <f>IFERROR(__xludf.DUMMYFUNCTION("FILTER('Diseño'!D:D,'Diseño'!H:H=$C$5)"),"Tercer Parcial Unidad 5 y 6")</f>
        <v>Tercer Parcial Unidad 5 y 6</v>
      </c>
      <c r="C28" s="22"/>
      <c r="D28" s="20" t="str">
        <f>IFERROR(__xludf.DUMMYFUNCTION("FILTER('Diseño'!E:E,'Diseño'!H:H=$C$5)"),"Tercer Parcial Unidad 5 y 6")</f>
        <v>Tercer Parcial Unidad 5 y 6</v>
      </c>
      <c r="E28" s="22"/>
      <c r="F28" s="20" t="str">
        <f>IFERROR(__xludf.DUMMYFUNCTION("FILTER('Diseño'!F:F,'Diseño'!H:H=$C$5)"),"Falacias")</f>
        <v>Falacias</v>
      </c>
      <c r="G28" s="21"/>
      <c r="H28" s="22"/>
    </row>
    <row r="29" ht="15.75" customHeight="1">
      <c r="A29" s="23">
        <v>2.0</v>
      </c>
      <c r="B29" s="20" t="str">
        <f>IFERROR(__xludf.DUMMYFUNCTION("""COMPUTED_VALUE"""),"Tercer Parcial Unidad 5 y 6")</f>
        <v>Tercer Parcial Unidad 5 y 6</v>
      </c>
      <c r="C29" s="22"/>
      <c r="D29" s="20" t="str">
        <f>IFERROR(__xludf.DUMMYFUNCTION("""COMPUTED_VALUE"""),"Tercer Parcial Unidad 5 y 6")</f>
        <v>Tercer Parcial Unidad 5 y 6</v>
      </c>
      <c r="E29" s="22"/>
      <c r="F29" s="20" t="str">
        <f>IFERROR(__xludf.DUMMYFUNCTION("""COMPUTED_VALUE"""),"Razonamiento formal e informal")</f>
        <v>Razonamiento formal e informal</v>
      </c>
      <c r="G29" s="21"/>
      <c r="H29" s="22"/>
    </row>
    <row r="30" ht="15.75" customHeight="1">
      <c r="A30" s="23">
        <v>3.0</v>
      </c>
      <c r="B30" s="20" t="str">
        <f>IFERROR(__xludf.DUMMYFUNCTION("""COMPUTED_VALUE"""),"Tercer Parcial Unidad 5 y 6")</f>
        <v>Tercer Parcial Unidad 5 y 6</v>
      </c>
      <c r="C30" s="22"/>
      <c r="D30" s="20" t="str">
        <f>IFERROR(__xludf.DUMMYFUNCTION("""COMPUTED_VALUE"""),"Tercer Parcial Unidad 5 y 6")</f>
        <v>Tercer Parcial Unidad 5 y 6</v>
      </c>
      <c r="E30" s="22"/>
      <c r="F30" s="20" t="str">
        <f>IFERROR(__xludf.DUMMYFUNCTION("""COMPUTED_VALUE"""),"Las falacias")</f>
        <v>Las falacias</v>
      </c>
      <c r="G30" s="21"/>
      <c r="H30" s="22"/>
    </row>
    <row r="31" ht="15.75" customHeight="1">
      <c r="A31" s="23">
        <v>4.0</v>
      </c>
      <c r="B31" s="20" t="str">
        <f>IFERROR(__xludf.DUMMYFUNCTION("""COMPUTED_VALUE"""),"Tercer Parcial Unidad 5 y 6")</f>
        <v>Tercer Parcial Unidad 5 y 6</v>
      </c>
      <c r="C31" s="22"/>
      <c r="D31" s="20" t="str">
        <f>IFERROR(__xludf.DUMMYFUNCTION("""COMPUTED_VALUE"""),"Tercer Parcial Unidad 5 y 6")</f>
        <v>Tercer Parcial Unidad 5 y 6</v>
      </c>
      <c r="E31" s="22"/>
      <c r="F31" s="20" t="str">
        <f>IFERROR(__xludf.DUMMYFUNCTION("""COMPUTED_VALUE"""),"Caracteristicas y aspectos extennos e internos de los paradigmas")</f>
        <v>Caracteristicas y aspectos extennos e internos de los paradigmas</v>
      </c>
      <c r="G31" s="21"/>
      <c r="H31" s="22"/>
    </row>
    <row r="32" ht="15.75" customHeight="1">
      <c r="A32" s="23">
        <v>5.0</v>
      </c>
      <c r="B32" s="20" t="str">
        <f>IFERROR(__xludf.DUMMYFUNCTION("""COMPUTED_VALUE"""),"Tercer Parcial Unidad 5 y 6")</f>
        <v>Tercer Parcial Unidad 5 y 6</v>
      </c>
      <c r="C32" s="22"/>
      <c r="D32" s="20" t="str">
        <f>IFERROR(__xludf.DUMMYFUNCTION("""COMPUTED_VALUE"""),"Tercer Parcial Unidad 5 y 6")</f>
        <v>Tercer Parcial Unidad 5 y 6</v>
      </c>
      <c r="E32" s="22"/>
      <c r="F32" s="20" t="str">
        <f>IFERROR(__xludf.DUMMYFUNCTION("""COMPUTED_VALUE"""),"Uso de paradigmas")</f>
        <v>Uso de paradigmas</v>
      </c>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6" t="s">
        <v>188</v>
      </c>
    </row>
    <row r="37" ht="15.75" customHeight="1">
      <c r="A37" s="5"/>
      <c r="B37" s="5"/>
      <c r="C37" s="5"/>
      <c r="D37" s="5"/>
      <c r="E37" s="5"/>
      <c r="F37" s="5"/>
      <c r="G37" s="5"/>
      <c r="H37" s="5"/>
    </row>
    <row r="38" ht="15.75" customHeight="1">
      <c r="A38" s="57" t="s">
        <v>189</v>
      </c>
      <c r="B38" s="57" t="s">
        <v>190</v>
      </c>
      <c r="C38" s="68" t="s">
        <v>191</v>
      </c>
      <c r="D38" s="69" t="s">
        <v>129</v>
      </c>
      <c r="E38" s="21"/>
      <c r="F38" s="21"/>
      <c r="G38" s="21"/>
      <c r="H38" s="22"/>
    </row>
    <row r="39" ht="15.75" customHeight="1">
      <c r="A39" s="23" t="s">
        <v>192</v>
      </c>
      <c r="B39" s="23" t="s">
        <v>193</v>
      </c>
      <c r="C39" s="62" t="s">
        <v>232</v>
      </c>
      <c r="D39" s="34">
        <v>25.0</v>
      </c>
      <c r="E39" s="21"/>
      <c r="F39" s="21"/>
      <c r="G39" s="21"/>
      <c r="H39" s="22"/>
    </row>
    <row r="40" ht="15.75" customHeight="1">
      <c r="A40" s="23" t="s">
        <v>195</v>
      </c>
      <c r="B40" s="23" t="s">
        <v>193</v>
      </c>
      <c r="C40" s="62" t="s">
        <v>196</v>
      </c>
      <c r="D40" s="34">
        <v>10.0</v>
      </c>
      <c r="E40" s="21"/>
      <c r="F40" s="21"/>
      <c r="G40" s="21"/>
      <c r="H40" s="22"/>
    </row>
    <row r="41" ht="15.75" customHeight="1">
      <c r="A41" s="23" t="s">
        <v>197</v>
      </c>
      <c r="B41" s="23" t="s">
        <v>198</v>
      </c>
      <c r="C41" s="62" t="s">
        <v>196</v>
      </c>
      <c r="D41" s="34">
        <v>10.0</v>
      </c>
      <c r="E41" s="21"/>
      <c r="F41" s="21"/>
      <c r="G41" s="21"/>
      <c r="H41" s="22"/>
    </row>
    <row r="42" ht="15.75" customHeight="1">
      <c r="A42" s="23" t="s">
        <v>199</v>
      </c>
      <c r="B42" s="23" t="s">
        <v>193</v>
      </c>
      <c r="C42" s="62" t="s">
        <v>234</v>
      </c>
      <c r="D42" s="34">
        <v>15.0</v>
      </c>
      <c r="E42" s="21"/>
      <c r="F42" s="21"/>
      <c r="G42" s="21"/>
      <c r="H42" s="22"/>
    </row>
    <row r="43" ht="15.75" customHeight="1"/>
    <row r="44" ht="15.75" customHeight="1">
      <c r="A44" s="45" t="s">
        <v>200</v>
      </c>
      <c r="G44" s="39" t="s">
        <v>129</v>
      </c>
      <c r="H44" s="46">
        <f>B50</f>
        <v>30</v>
      </c>
    </row>
    <row r="45" ht="15.75" customHeight="1">
      <c r="G45" s="28" t="s">
        <v>201</v>
      </c>
    </row>
    <row r="46" ht="15.75" customHeight="1">
      <c r="A46" s="28" t="s">
        <v>202</v>
      </c>
    </row>
    <row r="47">
      <c r="A47" s="33" t="s">
        <v>203</v>
      </c>
      <c r="B47" s="34" t="s">
        <v>108</v>
      </c>
      <c r="C47" s="21"/>
      <c r="D47" s="21"/>
      <c r="E47" s="21"/>
      <c r="F47" s="21"/>
      <c r="G47" s="21"/>
      <c r="H47" s="22"/>
    </row>
    <row r="48" ht="15.75" customHeight="1">
      <c r="A48" s="33" t="s">
        <v>204</v>
      </c>
      <c r="B48" s="34" t="s">
        <v>252</v>
      </c>
      <c r="C48" s="21"/>
      <c r="D48" s="21"/>
      <c r="E48" s="21"/>
      <c r="F48" s="21"/>
      <c r="G48" s="21"/>
      <c r="H48" s="22"/>
    </row>
    <row r="49" ht="15.75" customHeight="1">
      <c r="A49" s="33" t="s">
        <v>171</v>
      </c>
      <c r="B49" s="70">
        <v>0.0</v>
      </c>
      <c r="C49" s="21"/>
      <c r="D49" s="21"/>
      <c r="E49" s="21"/>
      <c r="F49" s="21"/>
      <c r="G49" s="21"/>
      <c r="H49" s="22"/>
    </row>
    <row r="50" ht="15.75" customHeight="1">
      <c r="A50" s="33" t="s">
        <v>129</v>
      </c>
      <c r="B50" s="34">
        <v>30.0</v>
      </c>
      <c r="C50" s="21"/>
      <c r="D50" s="21"/>
      <c r="E50" s="21"/>
      <c r="F50" s="21"/>
      <c r="G50" s="21"/>
      <c r="H50" s="22"/>
    </row>
    <row r="51" ht="15.75" customHeight="1">
      <c r="A51" s="71" t="s">
        <v>206</v>
      </c>
      <c r="B51" s="5"/>
      <c r="C51" s="5"/>
      <c r="D51" s="5"/>
      <c r="E51" s="5"/>
      <c r="F51" s="5"/>
      <c r="G51" s="5"/>
      <c r="H51" s="5"/>
    </row>
    <row r="52" ht="15.75" customHeight="1">
      <c r="A52" s="54" t="s">
        <v>207</v>
      </c>
      <c r="B52" s="21"/>
      <c r="C52" s="21"/>
      <c r="D52" s="21"/>
      <c r="E52" s="21"/>
      <c r="F52" s="21"/>
      <c r="G52" s="21"/>
      <c r="H52" s="22"/>
    </row>
    <row r="53" ht="15.75" customHeight="1">
      <c r="A53" s="88" t="s">
        <v>268</v>
      </c>
      <c r="B53" s="49"/>
      <c r="C53" s="49"/>
      <c r="D53" s="49"/>
      <c r="E53" s="49"/>
      <c r="F53" s="49"/>
      <c r="G53" s="49"/>
      <c r="H53" s="50"/>
    </row>
    <row r="54" ht="15.75" customHeight="1">
      <c r="A54" s="72"/>
      <c r="H54" s="73"/>
    </row>
    <row r="55" ht="15.75" customHeight="1">
      <c r="A55" s="51"/>
      <c r="B55" s="52"/>
      <c r="C55" s="52"/>
      <c r="D55" s="52"/>
      <c r="E55" s="52"/>
      <c r="F55" s="52"/>
      <c r="G55" s="52"/>
      <c r="H55" s="53"/>
    </row>
    <row r="56" ht="15.75" customHeight="1"/>
    <row r="57" ht="15.75" customHeight="1">
      <c r="A57" s="28" t="s">
        <v>209</v>
      </c>
    </row>
    <row r="58">
      <c r="A58" s="33" t="s">
        <v>203</v>
      </c>
      <c r="B58" s="20"/>
      <c r="C58" s="21"/>
      <c r="D58" s="21"/>
      <c r="E58" s="21"/>
      <c r="F58" s="21"/>
      <c r="G58" s="21"/>
      <c r="H58" s="22"/>
    </row>
    <row r="59" ht="15.75" customHeight="1">
      <c r="A59" s="33" t="s">
        <v>204</v>
      </c>
      <c r="B59" s="20"/>
      <c r="C59" s="21"/>
      <c r="D59" s="21"/>
      <c r="E59" s="21"/>
      <c r="F59" s="21"/>
      <c r="G59" s="21"/>
      <c r="H59" s="22"/>
    </row>
    <row r="60" ht="15.75" customHeight="1">
      <c r="A60" s="33" t="s">
        <v>171</v>
      </c>
      <c r="B60" s="70"/>
      <c r="C60" s="21"/>
      <c r="D60" s="21"/>
      <c r="E60" s="21"/>
      <c r="F60" s="21"/>
      <c r="G60" s="21"/>
      <c r="H60" s="22"/>
    </row>
    <row r="61" ht="15.75" customHeight="1">
      <c r="A61" s="33" t="s">
        <v>129</v>
      </c>
      <c r="B61" s="70"/>
      <c r="C61" s="21"/>
      <c r="D61" s="21"/>
      <c r="E61" s="21"/>
      <c r="F61" s="21"/>
      <c r="G61" s="21"/>
      <c r="H61" s="22"/>
    </row>
    <row r="62" ht="15.75" customHeight="1">
      <c r="A62" s="74" t="s">
        <v>210</v>
      </c>
      <c r="B62" s="5"/>
      <c r="C62" s="5"/>
      <c r="D62" s="5"/>
      <c r="E62" s="5"/>
      <c r="F62" s="5"/>
      <c r="G62" s="5"/>
      <c r="H62" s="5"/>
    </row>
    <row r="63" ht="15.75" customHeight="1">
      <c r="A63" s="54" t="s">
        <v>207</v>
      </c>
      <c r="B63" s="21"/>
      <c r="C63" s="21"/>
      <c r="D63" s="21"/>
      <c r="E63" s="21"/>
      <c r="F63" s="21"/>
      <c r="G63" s="21"/>
      <c r="H63" s="22"/>
    </row>
    <row r="64" ht="15.75" customHeight="1">
      <c r="A64" s="77"/>
      <c r="B64" s="49"/>
      <c r="C64" s="49"/>
      <c r="D64" s="49"/>
      <c r="E64" s="49"/>
      <c r="F64" s="49"/>
      <c r="G64" s="49"/>
      <c r="H64" s="50"/>
    </row>
    <row r="65" ht="15.75" customHeight="1">
      <c r="A65" s="72"/>
      <c r="H65" s="73"/>
    </row>
    <row r="66" ht="15.75" customHeight="1">
      <c r="A66" s="51"/>
      <c r="B66" s="52"/>
      <c r="C66" s="52"/>
      <c r="D66" s="52"/>
      <c r="E66" s="52"/>
      <c r="F66" s="52"/>
      <c r="G66" s="52"/>
      <c r="H66" s="53"/>
    </row>
    <row r="67" ht="15.75" customHeight="1"/>
    <row r="68" ht="15.75" customHeight="1">
      <c r="A68" s="45" t="s">
        <v>212</v>
      </c>
      <c r="G68" s="39" t="s">
        <v>129</v>
      </c>
      <c r="H68" s="55">
        <v>5.0</v>
      </c>
    </row>
    <row r="69" ht="15.75" customHeight="1">
      <c r="G69" s="28" t="s">
        <v>213</v>
      </c>
    </row>
    <row r="70" ht="15.75" customHeight="1">
      <c r="A70" s="33" t="s">
        <v>129</v>
      </c>
      <c r="B70" s="70"/>
      <c r="C70" s="21"/>
      <c r="D70" s="21"/>
      <c r="E70" s="21"/>
      <c r="F70" s="21"/>
      <c r="G70" s="21"/>
      <c r="H70" s="22"/>
    </row>
    <row r="71" ht="15.75" customHeight="1">
      <c r="A71" s="69" t="s">
        <v>214</v>
      </c>
      <c r="B71" s="21"/>
      <c r="C71" s="21"/>
      <c r="D71" s="21"/>
      <c r="E71" s="21"/>
      <c r="F71" s="21"/>
      <c r="G71" s="21"/>
      <c r="H71" s="22"/>
    </row>
    <row r="72" ht="15.75" customHeight="1">
      <c r="A72" s="48" t="s">
        <v>254</v>
      </c>
      <c r="B72" s="49"/>
      <c r="C72" s="49"/>
      <c r="D72" s="49"/>
      <c r="E72" s="49"/>
      <c r="F72" s="49"/>
      <c r="G72" s="49"/>
      <c r="H72" s="50"/>
    </row>
    <row r="73" ht="15.75" customHeight="1">
      <c r="A73" s="51"/>
      <c r="B73" s="52"/>
      <c r="C73" s="52"/>
      <c r="D73" s="52"/>
      <c r="E73" s="52"/>
      <c r="F73" s="52"/>
      <c r="G73" s="52"/>
      <c r="H73" s="53"/>
    </row>
    <row r="74" ht="15.75" customHeight="1">
      <c r="A74" s="28" t="s">
        <v>216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269</v>
      </c>
    </row>
    <row r="3" ht="15.75" customHeight="1"/>
    <row r="4" ht="15.75" customHeight="1">
      <c r="B4" s="19" t="s">
        <v>1</v>
      </c>
      <c r="C4" s="20" t="str">
        <f>'Diseño'!C4</f>
        <v>795 - Logica de Sitemas</v>
      </c>
      <c r="D4" s="21"/>
      <c r="E4" s="21"/>
      <c r="F4" s="21"/>
      <c r="G4" s="22"/>
    </row>
    <row r="5" ht="15.75" customHeight="1">
      <c r="B5" s="43" t="s">
        <v>126</v>
      </c>
      <c r="C5" s="20">
        <f>H9+H26+H43</f>
        <v>15</v>
      </c>
      <c r="D5" s="21"/>
      <c r="E5" s="21"/>
      <c r="F5" s="21"/>
      <c r="G5" s="22"/>
    </row>
    <row r="6" ht="15.75" customHeight="1">
      <c r="B6" s="43" t="s">
        <v>171</v>
      </c>
      <c r="C6" s="20">
        <f>F9+F26+F43</f>
        <v>0</v>
      </c>
      <c r="D6" s="21"/>
      <c r="E6" s="21"/>
      <c r="F6" s="21"/>
      <c r="G6" s="22"/>
    </row>
    <row r="7" ht="15.75" customHeight="1">
      <c r="B7" s="6" t="s">
        <v>270</v>
      </c>
    </row>
    <row r="8" ht="15.75" customHeight="1"/>
    <row r="9" ht="15.75" customHeight="1">
      <c r="A9" s="45" t="s">
        <v>271</v>
      </c>
      <c r="E9" s="39" t="s">
        <v>171</v>
      </c>
      <c r="F9" s="55">
        <v>0.0</v>
      </c>
      <c r="G9" s="39" t="s">
        <v>272</v>
      </c>
      <c r="H9" s="55">
        <v>15.0</v>
      </c>
    </row>
    <row r="10" ht="15.75" customHeight="1">
      <c r="A10" s="6" t="s">
        <v>193</v>
      </c>
    </row>
    <row r="11" ht="15.75" customHeight="1">
      <c r="A11" s="57" t="s">
        <v>183</v>
      </c>
      <c r="B11" s="34" t="s">
        <v>49</v>
      </c>
      <c r="C11" s="21"/>
      <c r="D11" s="21"/>
      <c r="E11" s="21"/>
      <c r="F11" s="21"/>
      <c r="G11" s="21"/>
      <c r="H11" s="22"/>
    </row>
    <row r="12" ht="15.75" customHeight="1">
      <c r="A12" s="57" t="s">
        <v>183</v>
      </c>
      <c r="B12" s="34" t="s">
        <v>84</v>
      </c>
      <c r="C12" s="21"/>
      <c r="D12" s="21"/>
      <c r="E12" s="21"/>
      <c r="F12" s="21"/>
      <c r="G12" s="21"/>
      <c r="H12" s="22"/>
    </row>
    <row r="13" ht="15.75" customHeight="1">
      <c r="A13" s="57" t="s">
        <v>183</v>
      </c>
      <c r="B13" s="20"/>
      <c r="C13" s="21"/>
      <c r="D13" s="21"/>
      <c r="E13" s="21"/>
      <c r="F13" s="21"/>
      <c r="G13" s="21"/>
      <c r="H13" s="22"/>
    </row>
    <row r="14" ht="15.75" customHeight="1">
      <c r="A14" s="57" t="s">
        <v>273</v>
      </c>
      <c r="B14" s="34" t="s">
        <v>274</v>
      </c>
      <c r="C14" s="21"/>
      <c r="D14" s="21"/>
      <c r="E14" s="21"/>
      <c r="F14" s="21"/>
      <c r="G14" s="21"/>
      <c r="H14" s="22"/>
    </row>
    <row r="15" ht="15.75" customHeight="1">
      <c r="A15" s="54" t="s">
        <v>275</v>
      </c>
      <c r="B15" s="21"/>
      <c r="C15" s="21"/>
      <c r="D15" s="21"/>
      <c r="E15" s="21"/>
      <c r="F15" s="21"/>
      <c r="G15" s="21"/>
      <c r="H15" s="22"/>
    </row>
    <row r="16" ht="15.75" customHeight="1">
      <c r="A16" s="95" t="s">
        <v>276</v>
      </c>
      <c r="B16" s="49"/>
      <c r="C16" s="49"/>
      <c r="D16" s="49"/>
      <c r="E16" s="49"/>
      <c r="F16" s="49"/>
      <c r="G16" s="49"/>
      <c r="H16" s="50"/>
    </row>
    <row r="17" ht="15.75" customHeight="1">
      <c r="A17" s="72"/>
      <c r="H17" s="73"/>
    </row>
    <row r="18" ht="15.75" customHeight="1">
      <c r="A18" s="51"/>
      <c r="B18" s="52"/>
      <c r="C18" s="52"/>
      <c r="D18" s="52"/>
      <c r="E18" s="52"/>
      <c r="F18" s="52"/>
      <c r="G18" s="52"/>
      <c r="H18" s="53"/>
    </row>
    <row r="19" ht="15.75" customHeight="1">
      <c r="A19" s="54" t="s">
        <v>277</v>
      </c>
      <c r="B19" s="21"/>
      <c r="C19" s="21"/>
      <c r="D19" s="21"/>
      <c r="E19" s="21"/>
      <c r="F19" s="21"/>
      <c r="G19" s="21"/>
      <c r="H19" s="22"/>
    </row>
    <row r="20" ht="15.75" customHeight="1">
      <c r="A20" s="88" t="s">
        <v>278</v>
      </c>
      <c r="B20" s="49"/>
      <c r="C20" s="49"/>
      <c r="D20" s="49"/>
      <c r="E20" s="49"/>
      <c r="F20" s="49"/>
      <c r="G20" s="49"/>
      <c r="H20" s="50"/>
    </row>
    <row r="21" ht="15.75" customHeight="1">
      <c r="A21" s="72"/>
      <c r="H21" s="73"/>
    </row>
    <row r="22" ht="15.75" customHeight="1">
      <c r="A22" s="72"/>
      <c r="H22" s="73"/>
    </row>
    <row r="23" ht="15.75" customHeight="1">
      <c r="A23" s="51"/>
      <c r="B23" s="52"/>
      <c r="C23" s="52"/>
      <c r="D23" s="52"/>
      <c r="E23" s="52"/>
      <c r="F23" s="52"/>
      <c r="G23" s="52"/>
      <c r="H23" s="53"/>
    </row>
    <row r="24" ht="15.75" customHeight="1"/>
    <row r="25" ht="15.75" customHeight="1"/>
    <row r="26" ht="15.75" customHeight="1">
      <c r="A26" s="45" t="s">
        <v>279</v>
      </c>
      <c r="E26" s="39" t="s">
        <v>171</v>
      </c>
      <c r="F26" s="46"/>
      <c r="G26" s="39" t="s">
        <v>272</v>
      </c>
      <c r="H26" s="46"/>
    </row>
    <row r="27" ht="15.75" customHeight="1">
      <c r="A27" s="6" t="s">
        <v>193</v>
      </c>
    </row>
    <row r="28" ht="15.75" customHeight="1">
      <c r="A28" s="57" t="s">
        <v>183</v>
      </c>
      <c r="B28" s="20"/>
      <c r="C28" s="21"/>
      <c r="D28" s="21"/>
      <c r="E28" s="21"/>
      <c r="F28" s="21"/>
      <c r="G28" s="21"/>
      <c r="H28" s="22"/>
    </row>
    <row r="29" ht="15.75" customHeight="1">
      <c r="A29" s="57" t="s">
        <v>183</v>
      </c>
      <c r="B29" s="20"/>
      <c r="C29" s="21"/>
      <c r="D29" s="21"/>
      <c r="E29" s="21"/>
      <c r="F29" s="21"/>
      <c r="G29" s="21"/>
      <c r="H29" s="22"/>
    </row>
    <row r="30" ht="15.75" customHeight="1">
      <c r="A30" s="57" t="s">
        <v>183</v>
      </c>
      <c r="B30" s="20"/>
      <c r="C30" s="21"/>
      <c r="D30" s="21"/>
      <c r="E30" s="21"/>
      <c r="F30" s="21"/>
      <c r="G30" s="21"/>
      <c r="H30" s="22"/>
    </row>
    <row r="31" ht="15.75" customHeight="1">
      <c r="A31" s="57" t="s">
        <v>273</v>
      </c>
      <c r="B31" s="20"/>
      <c r="C31" s="21"/>
      <c r="D31" s="21"/>
      <c r="E31" s="21"/>
      <c r="F31" s="21"/>
      <c r="G31" s="21"/>
      <c r="H31" s="22"/>
    </row>
    <row r="32" ht="15.75" customHeight="1">
      <c r="A32" s="54" t="s">
        <v>275</v>
      </c>
      <c r="B32" s="21"/>
      <c r="C32" s="21"/>
      <c r="D32" s="21"/>
      <c r="E32" s="21"/>
      <c r="F32" s="21"/>
      <c r="G32" s="21"/>
      <c r="H32" s="22"/>
    </row>
    <row r="33" ht="15.75" customHeight="1">
      <c r="A33" s="77"/>
      <c r="B33" s="49"/>
      <c r="C33" s="49"/>
      <c r="D33" s="49"/>
      <c r="E33" s="49"/>
      <c r="F33" s="49"/>
      <c r="G33" s="49"/>
      <c r="H33" s="50"/>
    </row>
    <row r="34" ht="15.75" customHeight="1">
      <c r="A34" s="72"/>
      <c r="H34" s="73"/>
    </row>
    <row r="35" ht="15.75" customHeight="1">
      <c r="A35" s="51"/>
      <c r="B35" s="52"/>
      <c r="C35" s="52"/>
      <c r="D35" s="52"/>
      <c r="E35" s="52"/>
      <c r="F35" s="52"/>
      <c r="G35" s="52"/>
      <c r="H35" s="53"/>
    </row>
    <row r="36" ht="15.75" customHeight="1">
      <c r="A36" s="54" t="s">
        <v>277</v>
      </c>
      <c r="B36" s="21"/>
      <c r="C36" s="21"/>
      <c r="D36" s="21"/>
      <c r="E36" s="21"/>
      <c r="F36" s="21"/>
      <c r="G36" s="21"/>
      <c r="H36" s="22"/>
    </row>
    <row r="37" ht="15.75" customHeight="1">
      <c r="A37" s="77"/>
      <c r="B37" s="49"/>
      <c r="C37" s="49"/>
      <c r="D37" s="49"/>
      <c r="E37" s="49"/>
      <c r="F37" s="49"/>
      <c r="G37" s="49"/>
      <c r="H37" s="50"/>
    </row>
    <row r="38" ht="15.75" customHeight="1">
      <c r="A38" s="72"/>
      <c r="H38" s="73"/>
    </row>
    <row r="39" ht="15.75" customHeight="1">
      <c r="A39" s="72"/>
      <c r="H39" s="73"/>
    </row>
    <row r="40" ht="15.75" customHeight="1">
      <c r="A40" s="51"/>
      <c r="B40" s="52"/>
      <c r="C40" s="52"/>
      <c r="D40" s="52"/>
      <c r="E40" s="52"/>
      <c r="F40" s="52"/>
      <c r="G40" s="52"/>
      <c r="H40" s="53"/>
    </row>
    <row r="41" ht="15.75" customHeight="1"/>
    <row r="42" ht="15.75" customHeight="1"/>
    <row r="43" ht="15.75" customHeight="1">
      <c r="A43" s="45" t="s">
        <v>280</v>
      </c>
      <c r="E43" s="39" t="s">
        <v>171</v>
      </c>
      <c r="F43" s="46"/>
      <c r="G43" s="39" t="s">
        <v>272</v>
      </c>
      <c r="H43" s="46"/>
    </row>
    <row r="44" ht="15.75" customHeight="1">
      <c r="A44" s="71" t="s">
        <v>281</v>
      </c>
    </row>
    <row r="45" ht="15.75" customHeight="1">
      <c r="A45" s="57" t="s">
        <v>183</v>
      </c>
      <c r="B45" s="20"/>
      <c r="C45" s="21"/>
      <c r="D45" s="21"/>
      <c r="E45" s="21"/>
      <c r="F45" s="21"/>
      <c r="G45" s="21"/>
      <c r="H45" s="22"/>
    </row>
    <row r="46" ht="15.75" customHeight="1">
      <c r="A46" s="57" t="s">
        <v>183</v>
      </c>
      <c r="B46" s="20"/>
      <c r="C46" s="21"/>
      <c r="D46" s="21"/>
      <c r="E46" s="21"/>
      <c r="F46" s="21"/>
      <c r="G46" s="21"/>
      <c r="H46" s="22"/>
    </row>
    <row r="47" ht="15.75" customHeight="1">
      <c r="A47" s="57" t="s">
        <v>183</v>
      </c>
      <c r="B47" s="20"/>
      <c r="C47" s="21"/>
      <c r="D47" s="21"/>
      <c r="E47" s="21"/>
      <c r="F47" s="21"/>
      <c r="G47" s="21"/>
      <c r="H47" s="22"/>
    </row>
    <row r="48" ht="15.75" customHeight="1">
      <c r="A48" s="57" t="s">
        <v>273</v>
      </c>
      <c r="B48" s="20"/>
      <c r="C48" s="21"/>
      <c r="D48" s="21"/>
      <c r="E48" s="21"/>
      <c r="F48" s="21"/>
      <c r="G48" s="21"/>
      <c r="H48" s="22"/>
    </row>
    <row r="49" ht="15.75" customHeight="1">
      <c r="A49" s="54" t="s">
        <v>275</v>
      </c>
      <c r="B49" s="21"/>
      <c r="C49" s="21"/>
      <c r="D49" s="21"/>
      <c r="E49" s="21"/>
      <c r="F49" s="21"/>
      <c r="G49" s="21"/>
      <c r="H49" s="22"/>
    </row>
    <row r="50" ht="15.75" customHeight="1">
      <c r="A50" s="77"/>
      <c r="B50" s="49"/>
      <c r="C50" s="49"/>
      <c r="D50" s="49"/>
      <c r="E50" s="49"/>
      <c r="F50" s="49"/>
      <c r="G50" s="49"/>
      <c r="H50" s="50"/>
    </row>
    <row r="51" ht="15.75" customHeight="1">
      <c r="A51" s="72"/>
      <c r="H51" s="73"/>
    </row>
    <row r="52" ht="15.75" customHeight="1">
      <c r="A52" s="51"/>
      <c r="B52" s="52"/>
      <c r="C52" s="52"/>
      <c r="D52" s="52"/>
      <c r="E52" s="52"/>
      <c r="F52" s="52"/>
      <c r="G52" s="52"/>
      <c r="H52" s="53"/>
    </row>
    <row r="53" ht="15.75" customHeight="1">
      <c r="A53" s="54" t="s">
        <v>277</v>
      </c>
      <c r="B53" s="21"/>
      <c r="C53" s="21"/>
      <c r="D53" s="21"/>
      <c r="E53" s="21"/>
      <c r="F53" s="21"/>
      <c r="G53" s="21"/>
      <c r="H53" s="22"/>
    </row>
    <row r="54" ht="15.75" customHeight="1">
      <c r="A54" s="77"/>
      <c r="B54" s="49"/>
      <c r="C54" s="49"/>
      <c r="D54" s="49"/>
      <c r="E54" s="49"/>
      <c r="F54" s="49"/>
      <c r="G54" s="49"/>
      <c r="H54" s="50"/>
    </row>
    <row r="55" ht="15.75" customHeight="1">
      <c r="A55" s="72"/>
      <c r="H55" s="73"/>
    </row>
    <row r="56" ht="15.75" customHeight="1">
      <c r="A56" s="72"/>
      <c r="H56" s="73"/>
    </row>
    <row r="57" ht="15.75" customHeight="1">
      <c r="A57" s="51"/>
      <c r="B57" s="52"/>
      <c r="C57" s="52"/>
      <c r="D57" s="52"/>
      <c r="E57" s="52"/>
      <c r="F57" s="52"/>
      <c r="G57" s="52"/>
      <c r="H57" s="5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hyperlinks>
    <hyperlink r:id="rId1" ref="A16"/>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282</v>
      </c>
    </row>
    <row r="3" ht="15.75" customHeight="1"/>
    <row r="4" ht="15.75" customHeight="1">
      <c r="B4" s="19" t="s">
        <v>1</v>
      </c>
      <c r="C4" s="20" t="str">
        <f>'Diseño'!C4</f>
        <v>795 - Logica de Sitemas</v>
      </c>
      <c r="D4" s="21"/>
      <c r="E4" s="21"/>
      <c r="F4" s="21"/>
      <c r="G4" s="22"/>
    </row>
    <row r="5" ht="15.75" customHeight="1">
      <c r="B5" s="43" t="s">
        <v>126</v>
      </c>
      <c r="C5" s="20">
        <f>H9+H26+H43+H60+H77+H94+H111</f>
        <v>7</v>
      </c>
      <c r="D5" s="21"/>
      <c r="E5" s="21"/>
      <c r="F5" s="21"/>
      <c r="G5" s="22"/>
    </row>
    <row r="6" ht="15.75" customHeight="1">
      <c r="B6" s="43" t="s">
        <v>171</v>
      </c>
      <c r="C6" s="20">
        <f>F9+F26+F43+F60+F77+F94+F111</f>
        <v>0</v>
      </c>
      <c r="D6" s="21"/>
      <c r="E6" s="21"/>
      <c r="F6" s="21"/>
      <c r="G6" s="22"/>
    </row>
    <row r="7" ht="15.75" customHeight="1">
      <c r="B7" s="6" t="s">
        <v>283</v>
      </c>
    </row>
    <row r="8" ht="15.75" customHeight="1"/>
    <row r="9" ht="15.75" customHeight="1">
      <c r="A9" s="45" t="s">
        <v>284</v>
      </c>
      <c r="E9" s="39" t="s">
        <v>171</v>
      </c>
      <c r="F9" s="55">
        <v>0.0</v>
      </c>
      <c r="G9" s="39" t="s">
        <v>272</v>
      </c>
      <c r="H9" s="55">
        <v>3.0</v>
      </c>
    </row>
    <row r="10" ht="15.75" customHeight="1">
      <c r="A10" s="6" t="s">
        <v>285</v>
      </c>
    </row>
    <row r="11" ht="15.75" customHeight="1">
      <c r="A11" s="57" t="s">
        <v>183</v>
      </c>
      <c r="B11" s="34" t="s">
        <v>12</v>
      </c>
      <c r="C11" s="21"/>
      <c r="D11" s="21"/>
      <c r="E11" s="21"/>
      <c r="F11" s="21"/>
      <c r="G11" s="21"/>
      <c r="H11" s="22"/>
    </row>
    <row r="12" ht="15.75" customHeight="1">
      <c r="A12" s="57" t="s">
        <v>183</v>
      </c>
      <c r="B12" s="34" t="s">
        <v>33</v>
      </c>
      <c r="C12" s="21"/>
      <c r="D12" s="21"/>
      <c r="E12" s="21"/>
      <c r="F12" s="21"/>
      <c r="G12" s="21"/>
      <c r="H12" s="22"/>
    </row>
    <row r="13" ht="15.75" customHeight="1">
      <c r="A13" s="57" t="s">
        <v>183</v>
      </c>
      <c r="B13" s="34" t="s">
        <v>49</v>
      </c>
      <c r="C13" s="21"/>
      <c r="D13" s="21"/>
      <c r="E13" s="21"/>
      <c r="F13" s="21"/>
      <c r="G13" s="21"/>
      <c r="H13" s="22"/>
    </row>
    <row r="14" ht="15.75" customHeight="1">
      <c r="A14" s="57" t="s">
        <v>273</v>
      </c>
      <c r="B14" s="17" t="s">
        <v>286</v>
      </c>
      <c r="C14" s="78"/>
      <c r="D14" s="78"/>
      <c r="E14" s="78"/>
      <c r="F14" s="78"/>
      <c r="G14" s="78"/>
      <c r="H14" s="79"/>
    </row>
    <row r="15" ht="15.75" customHeight="1">
      <c r="A15" s="54" t="s">
        <v>275</v>
      </c>
      <c r="B15" s="21"/>
      <c r="C15" s="21"/>
      <c r="D15" s="21"/>
      <c r="E15" s="21"/>
      <c r="F15" s="21"/>
      <c r="G15" s="21"/>
      <c r="H15" s="22"/>
    </row>
    <row r="16" ht="15.75" customHeight="1">
      <c r="A16" s="48" t="s">
        <v>287</v>
      </c>
      <c r="B16" s="49"/>
      <c r="C16" s="49"/>
      <c r="D16" s="49"/>
      <c r="E16" s="49"/>
      <c r="F16" s="49"/>
      <c r="G16" s="49"/>
      <c r="H16" s="50"/>
    </row>
    <row r="17" ht="15.75" customHeight="1">
      <c r="A17" s="72"/>
      <c r="H17" s="73"/>
    </row>
    <row r="18" ht="35.25" customHeight="1">
      <c r="A18" s="51"/>
      <c r="B18" s="52"/>
      <c r="C18" s="52"/>
      <c r="D18" s="52"/>
      <c r="E18" s="52"/>
      <c r="F18" s="52"/>
      <c r="G18" s="52"/>
      <c r="H18" s="53"/>
    </row>
    <row r="19" ht="15.75" customHeight="1">
      <c r="A19" s="54" t="s">
        <v>277</v>
      </c>
      <c r="B19" s="21"/>
      <c r="C19" s="21"/>
      <c r="D19" s="21"/>
      <c r="E19" s="21"/>
      <c r="F19" s="21"/>
      <c r="G19" s="21"/>
      <c r="H19" s="22"/>
    </row>
    <row r="20" ht="15.75" customHeight="1">
      <c r="A20" s="48" t="s">
        <v>288</v>
      </c>
      <c r="B20" s="49"/>
      <c r="C20" s="49"/>
      <c r="D20" s="49"/>
      <c r="E20" s="49"/>
      <c r="F20" s="49"/>
      <c r="G20" s="49"/>
      <c r="H20" s="50"/>
    </row>
    <row r="21" ht="15.75" customHeight="1">
      <c r="A21" s="72"/>
      <c r="H21" s="73"/>
    </row>
    <row r="22" ht="15.75" customHeight="1">
      <c r="A22" s="72"/>
      <c r="H22" s="73"/>
    </row>
    <row r="23" ht="69.0" customHeight="1">
      <c r="A23" s="51"/>
      <c r="B23" s="52"/>
      <c r="C23" s="52"/>
      <c r="D23" s="52"/>
      <c r="E23" s="52"/>
      <c r="F23" s="52"/>
      <c r="G23" s="52"/>
      <c r="H23" s="53"/>
    </row>
    <row r="24" ht="15.75" customHeight="1"/>
    <row r="25" ht="15.75" customHeight="1"/>
    <row r="26" ht="15.75" customHeight="1">
      <c r="A26" s="45" t="s">
        <v>289</v>
      </c>
      <c r="E26" s="39" t="s">
        <v>171</v>
      </c>
      <c r="F26" s="55">
        <v>0.0</v>
      </c>
      <c r="G26" s="39" t="s">
        <v>272</v>
      </c>
      <c r="H26" s="55">
        <v>4.0</v>
      </c>
    </row>
    <row r="27" ht="15.75" customHeight="1">
      <c r="A27" s="71" t="s">
        <v>281</v>
      </c>
    </row>
    <row r="28" ht="15.75" customHeight="1">
      <c r="A28" s="57" t="s">
        <v>183</v>
      </c>
      <c r="B28" s="34" t="s">
        <v>67</v>
      </c>
      <c r="C28" s="21"/>
      <c r="D28" s="21"/>
      <c r="E28" s="21"/>
      <c r="F28" s="21"/>
      <c r="G28" s="21"/>
      <c r="H28" s="22"/>
    </row>
    <row r="29" ht="15.75" customHeight="1">
      <c r="A29" s="57" t="s">
        <v>183</v>
      </c>
      <c r="B29" s="34" t="s">
        <v>108</v>
      </c>
      <c r="C29" s="21"/>
      <c r="D29" s="21"/>
      <c r="E29" s="21"/>
      <c r="F29" s="21"/>
      <c r="G29" s="21"/>
      <c r="H29" s="22"/>
    </row>
    <row r="30" ht="15.75" customHeight="1">
      <c r="A30" s="57" t="s">
        <v>183</v>
      </c>
      <c r="B30" s="34" t="s">
        <v>84</v>
      </c>
      <c r="C30" s="21"/>
      <c r="D30" s="21"/>
      <c r="E30" s="21"/>
      <c r="F30" s="21"/>
      <c r="G30" s="21"/>
      <c r="H30" s="22"/>
    </row>
    <row r="31" ht="15.75" customHeight="1">
      <c r="A31" s="57" t="s">
        <v>273</v>
      </c>
      <c r="B31" s="17" t="s">
        <v>290</v>
      </c>
      <c r="C31" s="78"/>
      <c r="D31" s="78"/>
      <c r="E31" s="78"/>
      <c r="F31" s="78"/>
      <c r="G31" s="78"/>
      <c r="H31" s="79"/>
    </row>
    <row r="32" ht="15.75" customHeight="1">
      <c r="A32" s="54" t="s">
        <v>275</v>
      </c>
      <c r="B32" s="21"/>
      <c r="C32" s="21"/>
      <c r="D32" s="21"/>
      <c r="E32" s="21"/>
      <c r="F32" s="21"/>
      <c r="G32" s="21"/>
      <c r="H32" s="22"/>
    </row>
    <row r="33" ht="15.75" customHeight="1">
      <c r="A33" s="48" t="s">
        <v>287</v>
      </c>
      <c r="B33" s="49"/>
      <c r="C33" s="49"/>
      <c r="D33" s="49"/>
      <c r="E33" s="49"/>
      <c r="F33" s="49"/>
      <c r="G33" s="49"/>
      <c r="H33" s="50"/>
    </row>
    <row r="34" ht="15.75" customHeight="1">
      <c r="A34" s="72"/>
      <c r="H34" s="73"/>
    </row>
    <row r="35" ht="46.5" customHeight="1">
      <c r="A35" s="51"/>
      <c r="B35" s="52"/>
      <c r="C35" s="52"/>
      <c r="D35" s="52"/>
      <c r="E35" s="52"/>
      <c r="F35" s="52"/>
      <c r="G35" s="52"/>
      <c r="H35" s="53"/>
    </row>
    <row r="36" ht="15.75" customHeight="1">
      <c r="A36" s="54" t="s">
        <v>277</v>
      </c>
      <c r="B36" s="21"/>
      <c r="C36" s="21"/>
      <c r="D36" s="21"/>
      <c r="E36" s="21"/>
      <c r="F36" s="21"/>
      <c r="G36" s="21"/>
      <c r="H36" s="22"/>
    </row>
    <row r="37" ht="15.75" customHeight="1">
      <c r="A37" s="48" t="s">
        <v>291</v>
      </c>
      <c r="B37" s="49"/>
      <c r="C37" s="49"/>
      <c r="D37" s="49"/>
      <c r="E37" s="49"/>
      <c r="F37" s="49"/>
      <c r="G37" s="49"/>
      <c r="H37" s="50"/>
    </row>
    <row r="38" ht="15.75" customHeight="1">
      <c r="A38" s="72"/>
      <c r="H38" s="73"/>
    </row>
    <row r="39" ht="15.75" customHeight="1">
      <c r="A39" s="72"/>
      <c r="H39" s="73"/>
    </row>
    <row r="40" ht="72.0" customHeight="1">
      <c r="A40" s="51"/>
      <c r="B40" s="52"/>
      <c r="C40" s="52"/>
      <c r="D40" s="52"/>
      <c r="E40" s="52"/>
      <c r="F40" s="52"/>
      <c r="G40" s="52"/>
      <c r="H40" s="53"/>
    </row>
    <row r="41" ht="15.75" customHeight="1"/>
    <row r="42" ht="15.75" customHeight="1"/>
    <row r="43" ht="15.75" customHeight="1">
      <c r="A43" s="45" t="s">
        <v>292</v>
      </c>
      <c r="E43" s="39" t="s">
        <v>171</v>
      </c>
      <c r="F43" s="46"/>
      <c r="G43" s="39" t="s">
        <v>272</v>
      </c>
      <c r="H43" s="46"/>
    </row>
    <row r="44" ht="15.75" customHeight="1">
      <c r="A44" s="71" t="s">
        <v>281</v>
      </c>
    </row>
    <row r="45" ht="15.75" customHeight="1">
      <c r="A45" s="57" t="s">
        <v>183</v>
      </c>
      <c r="B45" s="20"/>
      <c r="C45" s="21"/>
      <c r="D45" s="21"/>
      <c r="E45" s="21"/>
      <c r="F45" s="21"/>
      <c r="G45" s="21"/>
      <c r="H45" s="22"/>
    </row>
    <row r="46" ht="15.75" customHeight="1">
      <c r="A46" s="57" t="s">
        <v>183</v>
      </c>
      <c r="B46" s="20"/>
      <c r="C46" s="21"/>
      <c r="D46" s="21"/>
      <c r="E46" s="21"/>
      <c r="F46" s="21"/>
      <c r="G46" s="21"/>
      <c r="H46" s="22"/>
    </row>
    <row r="47" ht="15.75" customHeight="1">
      <c r="A47" s="57" t="s">
        <v>183</v>
      </c>
      <c r="B47" s="20"/>
      <c r="C47" s="21"/>
      <c r="D47" s="21"/>
      <c r="E47" s="21"/>
      <c r="F47" s="21"/>
      <c r="G47" s="21"/>
      <c r="H47" s="22"/>
    </row>
    <row r="48" ht="15.75" customHeight="1">
      <c r="A48" s="57" t="s">
        <v>273</v>
      </c>
      <c r="B48" s="20"/>
      <c r="C48" s="21"/>
      <c r="D48" s="21"/>
      <c r="E48" s="21"/>
      <c r="F48" s="21"/>
      <c r="G48" s="21"/>
      <c r="H48" s="22"/>
    </row>
    <row r="49" ht="15.75" customHeight="1">
      <c r="A49" s="54" t="s">
        <v>275</v>
      </c>
      <c r="B49" s="21"/>
      <c r="C49" s="21"/>
      <c r="D49" s="21"/>
      <c r="E49" s="21"/>
      <c r="F49" s="21"/>
      <c r="G49" s="21"/>
      <c r="H49" s="22"/>
    </row>
    <row r="50" ht="15.75" customHeight="1">
      <c r="A50" s="77"/>
      <c r="B50" s="49"/>
      <c r="C50" s="49"/>
      <c r="D50" s="49"/>
      <c r="E50" s="49"/>
      <c r="F50" s="49"/>
      <c r="G50" s="49"/>
      <c r="H50" s="50"/>
    </row>
    <row r="51" ht="15.75" customHeight="1">
      <c r="A51" s="72"/>
      <c r="H51" s="73"/>
    </row>
    <row r="52" ht="15.75" customHeight="1">
      <c r="A52" s="51"/>
      <c r="B52" s="52"/>
      <c r="C52" s="52"/>
      <c r="D52" s="52"/>
      <c r="E52" s="52"/>
      <c r="F52" s="52"/>
      <c r="G52" s="52"/>
      <c r="H52" s="53"/>
    </row>
    <row r="53" ht="15.75" customHeight="1">
      <c r="A53" s="54" t="s">
        <v>277</v>
      </c>
      <c r="B53" s="21"/>
      <c r="C53" s="21"/>
      <c r="D53" s="21"/>
      <c r="E53" s="21"/>
      <c r="F53" s="21"/>
      <c r="G53" s="21"/>
      <c r="H53" s="22"/>
    </row>
    <row r="54" ht="15.75" customHeight="1">
      <c r="A54" s="77"/>
      <c r="B54" s="49"/>
      <c r="C54" s="49"/>
      <c r="D54" s="49"/>
      <c r="E54" s="49"/>
      <c r="F54" s="49"/>
      <c r="G54" s="49"/>
      <c r="H54" s="50"/>
    </row>
    <row r="55" ht="15.75" customHeight="1">
      <c r="A55" s="72"/>
      <c r="H55" s="73"/>
    </row>
    <row r="56" ht="15.75" customHeight="1">
      <c r="A56" s="72"/>
      <c r="H56" s="73"/>
    </row>
    <row r="57" ht="15.75" customHeight="1">
      <c r="A57" s="51"/>
      <c r="B57" s="52"/>
      <c r="C57" s="52"/>
      <c r="D57" s="52"/>
      <c r="E57" s="52"/>
      <c r="F57" s="52"/>
      <c r="G57" s="52"/>
      <c r="H57" s="53"/>
    </row>
    <row r="58" ht="15.75" customHeight="1"/>
    <row r="59" ht="15.75" customHeight="1"/>
    <row r="60" ht="15.75" customHeight="1">
      <c r="A60" s="45" t="s">
        <v>293</v>
      </c>
      <c r="E60" s="39" t="s">
        <v>171</v>
      </c>
      <c r="F60" s="46"/>
      <c r="G60" s="39" t="s">
        <v>272</v>
      </c>
      <c r="H60" s="46"/>
    </row>
    <row r="61" ht="15.75" customHeight="1">
      <c r="A61" s="71" t="s">
        <v>281</v>
      </c>
    </row>
    <row r="62" ht="15.75" customHeight="1">
      <c r="A62" s="57" t="s">
        <v>183</v>
      </c>
      <c r="B62" s="20"/>
      <c r="C62" s="21"/>
      <c r="D62" s="21"/>
      <c r="E62" s="21"/>
      <c r="F62" s="21"/>
      <c r="G62" s="21"/>
      <c r="H62" s="22"/>
    </row>
    <row r="63" ht="15.75" customHeight="1">
      <c r="A63" s="57" t="s">
        <v>183</v>
      </c>
      <c r="B63" s="20"/>
      <c r="C63" s="21"/>
      <c r="D63" s="21"/>
      <c r="E63" s="21"/>
      <c r="F63" s="21"/>
      <c r="G63" s="21"/>
      <c r="H63" s="22"/>
    </row>
    <row r="64" ht="15.75" customHeight="1">
      <c r="A64" s="57" t="s">
        <v>183</v>
      </c>
      <c r="B64" s="20"/>
      <c r="C64" s="21"/>
      <c r="D64" s="21"/>
      <c r="E64" s="21"/>
      <c r="F64" s="21"/>
      <c r="G64" s="21"/>
      <c r="H64" s="22"/>
    </row>
    <row r="65" ht="15.75" customHeight="1">
      <c r="A65" s="57" t="s">
        <v>273</v>
      </c>
      <c r="B65" s="20"/>
      <c r="C65" s="21"/>
      <c r="D65" s="21"/>
      <c r="E65" s="21"/>
      <c r="F65" s="21"/>
      <c r="G65" s="21"/>
      <c r="H65" s="22"/>
    </row>
    <row r="66" ht="15.75" customHeight="1">
      <c r="A66" s="54" t="s">
        <v>275</v>
      </c>
      <c r="B66" s="21"/>
      <c r="C66" s="21"/>
      <c r="D66" s="21"/>
      <c r="E66" s="21"/>
      <c r="F66" s="21"/>
      <c r="G66" s="21"/>
      <c r="H66" s="22"/>
    </row>
    <row r="67" ht="15.75" customHeight="1">
      <c r="A67" s="77"/>
      <c r="B67" s="49"/>
      <c r="C67" s="49"/>
      <c r="D67" s="49"/>
      <c r="E67" s="49"/>
      <c r="F67" s="49"/>
      <c r="G67" s="49"/>
      <c r="H67" s="50"/>
    </row>
    <row r="68" ht="15.75" customHeight="1">
      <c r="A68" s="72"/>
      <c r="H68" s="73"/>
    </row>
    <row r="69" ht="15.75" customHeight="1">
      <c r="A69" s="51"/>
      <c r="B69" s="52"/>
      <c r="C69" s="52"/>
      <c r="D69" s="52"/>
      <c r="E69" s="52"/>
      <c r="F69" s="52"/>
      <c r="G69" s="52"/>
      <c r="H69" s="53"/>
    </row>
    <row r="70" ht="15.75" customHeight="1">
      <c r="A70" s="54" t="s">
        <v>277</v>
      </c>
      <c r="B70" s="21"/>
      <c r="C70" s="21"/>
      <c r="D70" s="21"/>
      <c r="E70" s="21"/>
      <c r="F70" s="21"/>
      <c r="G70" s="21"/>
      <c r="H70" s="22"/>
    </row>
    <row r="71" ht="15.75" customHeight="1">
      <c r="A71" s="77"/>
      <c r="B71" s="49"/>
      <c r="C71" s="49"/>
      <c r="D71" s="49"/>
      <c r="E71" s="49"/>
      <c r="F71" s="49"/>
      <c r="G71" s="49"/>
      <c r="H71" s="50"/>
    </row>
    <row r="72" ht="15.75" customHeight="1">
      <c r="A72" s="72"/>
      <c r="H72" s="73"/>
    </row>
    <row r="73" ht="15.75" customHeight="1">
      <c r="A73" s="72"/>
      <c r="H73" s="73"/>
    </row>
    <row r="74" ht="15.75" customHeight="1">
      <c r="A74" s="51"/>
      <c r="B74" s="52"/>
      <c r="C74" s="52"/>
      <c r="D74" s="52"/>
      <c r="E74" s="52"/>
      <c r="F74" s="52"/>
      <c r="G74" s="52"/>
      <c r="H74" s="53"/>
    </row>
    <row r="75" ht="15.75" customHeight="1"/>
    <row r="76" ht="15.75" customHeight="1"/>
    <row r="77" ht="15.75" customHeight="1">
      <c r="A77" s="45" t="s">
        <v>294</v>
      </c>
      <c r="E77" s="39" t="s">
        <v>171</v>
      </c>
      <c r="F77" s="46"/>
      <c r="G77" s="39" t="s">
        <v>272</v>
      </c>
      <c r="H77" s="46"/>
    </row>
    <row r="78" ht="15.75" customHeight="1">
      <c r="A78" s="71" t="s">
        <v>281</v>
      </c>
    </row>
    <row r="79" ht="15.75" customHeight="1">
      <c r="A79" s="57" t="s">
        <v>183</v>
      </c>
      <c r="B79" s="20"/>
      <c r="C79" s="21"/>
      <c r="D79" s="21"/>
      <c r="E79" s="21"/>
      <c r="F79" s="21"/>
      <c r="G79" s="21"/>
      <c r="H79" s="22"/>
    </row>
    <row r="80" ht="15.75" customHeight="1">
      <c r="A80" s="57" t="s">
        <v>183</v>
      </c>
      <c r="B80" s="20"/>
      <c r="C80" s="21"/>
      <c r="D80" s="21"/>
      <c r="E80" s="21"/>
      <c r="F80" s="21"/>
      <c r="G80" s="21"/>
      <c r="H80" s="22"/>
    </row>
    <row r="81" ht="15.75" customHeight="1">
      <c r="A81" s="57" t="s">
        <v>183</v>
      </c>
      <c r="B81" s="20"/>
      <c r="C81" s="21"/>
      <c r="D81" s="21"/>
      <c r="E81" s="21"/>
      <c r="F81" s="21"/>
      <c r="G81" s="21"/>
      <c r="H81" s="22"/>
    </row>
    <row r="82" ht="15.75" customHeight="1">
      <c r="A82" s="57" t="s">
        <v>273</v>
      </c>
      <c r="B82" s="20"/>
      <c r="C82" s="21"/>
      <c r="D82" s="21"/>
      <c r="E82" s="21"/>
      <c r="F82" s="21"/>
      <c r="G82" s="21"/>
      <c r="H82" s="22"/>
    </row>
    <row r="83" ht="15.75" customHeight="1">
      <c r="A83" s="54" t="s">
        <v>275</v>
      </c>
      <c r="B83" s="21"/>
      <c r="C83" s="21"/>
      <c r="D83" s="21"/>
      <c r="E83" s="21"/>
      <c r="F83" s="21"/>
      <c r="G83" s="21"/>
      <c r="H83" s="22"/>
    </row>
    <row r="84" ht="15.75" customHeight="1">
      <c r="A84" s="77"/>
      <c r="B84" s="49"/>
      <c r="C84" s="49"/>
      <c r="D84" s="49"/>
      <c r="E84" s="49"/>
      <c r="F84" s="49"/>
      <c r="G84" s="49"/>
      <c r="H84" s="50"/>
    </row>
    <row r="85" ht="15.75" customHeight="1">
      <c r="A85" s="72"/>
      <c r="H85" s="73"/>
    </row>
    <row r="86" ht="15.75" customHeight="1">
      <c r="A86" s="51"/>
      <c r="B86" s="52"/>
      <c r="C86" s="52"/>
      <c r="D86" s="52"/>
      <c r="E86" s="52"/>
      <c r="F86" s="52"/>
      <c r="G86" s="52"/>
      <c r="H86" s="53"/>
    </row>
    <row r="87" ht="15.75" customHeight="1">
      <c r="A87" s="54" t="s">
        <v>277</v>
      </c>
      <c r="B87" s="21"/>
      <c r="C87" s="21"/>
      <c r="D87" s="21"/>
      <c r="E87" s="21"/>
      <c r="F87" s="21"/>
      <c r="G87" s="21"/>
      <c r="H87" s="22"/>
    </row>
    <row r="88" ht="15.75" customHeight="1">
      <c r="A88" s="77"/>
      <c r="B88" s="49"/>
      <c r="C88" s="49"/>
      <c r="D88" s="49"/>
      <c r="E88" s="49"/>
      <c r="F88" s="49"/>
      <c r="G88" s="49"/>
      <c r="H88" s="50"/>
    </row>
    <row r="89" ht="15.75" customHeight="1">
      <c r="A89" s="72"/>
      <c r="H89" s="73"/>
    </row>
    <row r="90" ht="15.75" customHeight="1">
      <c r="A90" s="72"/>
      <c r="H90" s="73"/>
    </row>
    <row r="91" ht="15.75" customHeight="1">
      <c r="A91" s="51"/>
      <c r="B91" s="52"/>
      <c r="C91" s="52"/>
      <c r="D91" s="52"/>
      <c r="E91" s="52"/>
      <c r="F91" s="52"/>
      <c r="G91" s="52"/>
      <c r="H91" s="53"/>
    </row>
    <row r="92" ht="15.75" customHeight="1"/>
    <row r="93" ht="15.75" customHeight="1"/>
    <row r="94" ht="15.75" customHeight="1">
      <c r="A94" s="45" t="s">
        <v>295</v>
      </c>
      <c r="E94" s="39" t="s">
        <v>171</v>
      </c>
      <c r="F94" s="46"/>
      <c r="G94" s="39" t="s">
        <v>272</v>
      </c>
      <c r="H94" s="46"/>
    </row>
    <row r="95" ht="15.75" customHeight="1">
      <c r="A95" s="71" t="s">
        <v>281</v>
      </c>
    </row>
    <row r="96" ht="15.75" customHeight="1">
      <c r="A96" s="57" t="s">
        <v>183</v>
      </c>
      <c r="B96" s="20"/>
      <c r="C96" s="21"/>
      <c r="D96" s="21"/>
      <c r="E96" s="21"/>
      <c r="F96" s="21"/>
      <c r="G96" s="21"/>
      <c r="H96" s="22"/>
    </row>
    <row r="97" ht="15.75" customHeight="1">
      <c r="A97" s="57" t="s">
        <v>183</v>
      </c>
      <c r="B97" s="20"/>
      <c r="C97" s="21"/>
      <c r="D97" s="21"/>
      <c r="E97" s="21"/>
      <c r="F97" s="21"/>
      <c r="G97" s="21"/>
      <c r="H97" s="22"/>
    </row>
    <row r="98" ht="15.75" customHeight="1">
      <c r="A98" s="57" t="s">
        <v>183</v>
      </c>
      <c r="B98" s="20"/>
      <c r="C98" s="21"/>
      <c r="D98" s="21"/>
      <c r="E98" s="21"/>
      <c r="F98" s="21"/>
      <c r="G98" s="21"/>
      <c r="H98" s="22"/>
    </row>
    <row r="99" ht="15.75" customHeight="1">
      <c r="A99" s="57" t="s">
        <v>273</v>
      </c>
      <c r="B99" s="20"/>
      <c r="C99" s="21"/>
      <c r="D99" s="21"/>
      <c r="E99" s="21"/>
      <c r="F99" s="21"/>
      <c r="G99" s="21"/>
      <c r="H99" s="22"/>
    </row>
    <row r="100" ht="15.75" customHeight="1">
      <c r="A100" s="54" t="s">
        <v>275</v>
      </c>
      <c r="B100" s="21"/>
      <c r="C100" s="21"/>
      <c r="D100" s="21"/>
      <c r="E100" s="21"/>
      <c r="F100" s="21"/>
      <c r="G100" s="21"/>
      <c r="H100" s="22"/>
    </row>
    <row r="101" ht="15.75" customHeight="1">
      <c r="A101" s="77"/>
      <c r="B101" s="49"/>
      <c r="C101" s="49"/>
      <c r="D101" s="49"/>
      <c r="E101" s="49"/>
      <c r="F101" s="49"/>
      <c r="G101" s="49"/>
      <c r="H101" s="50"/>
    </row>
    <row r="102" ht="15.75" customHeight="1">
      <c r="A102" s="72"/>
      <c r="H102" s="73"/>
    </row>
    <row r="103" ht="15.75" customHeight="1">
      <c r="A103" s="51"/>
      <c r="B103" s="52"/>
      <c r="C103" s="52"/>
      <c r="D103" s="52"/>
      <c r="E103" s="52"/>
      <c r="F103" s="52"/>
      <c r="G103" s="52"/>
      <c r="H103" s="53"/>
    </row>
    <row r="104" ht="15.75" customHeight="1">
      <c r="A104" s="54" t="s">
        <v>277</v>
      </c>
      <c r="B104" s="21"/>
      <c r="C104" s="21"/>
      <c r="D104" s="21"/>
      <c r="E104" s="21"/>
      <c r="F104" s="21"/>
      <c r="G104" s="21"/>
      <c r="H104" s="22"/>
    </row>
    <row r="105" ht="15.75" customHeight="1">
      <c r="A105" s="77"/>
      <c r="B105" s="49"/>
      <c r="C105" s="49"/>
      <c r="D105" s="49"/>
      <c r="E105" s="49"/>
      <c r="F105" s="49"/>
      <c r="G105" s="49"/>
      <c r="H105" s="50"/>
    </row>
    <row r="106" ht="15.75" customHeight="1">
      <c r="A106" s="72"/>
      <c r="H106" s="73"/>
    </row>
    <row r="107" ht="15.75" customHeight="1">
      <c r="A107" s="72"/>
      <c r="H107" s="73"/>
    </row>
    <row r="108" ht="15.75" customHeight="1">
      <c r="A108" s="51"/>
      <c r="B108" s="52"/>
      <c r="C108" s="52"/>
      <c r="D108" s="52"/>
      <c r="E108" s="52"/>
      <c r="F108" s="52"/>
      <c r="G108" s="52"/>
      <c r="H108" s="53"/>
    </row>
    <row r="109" ht="15.75" customHeight="1"/>
    <row r="110" ht="15.75" customHeight="1"/>
    <row r="111" ht="15.75" customHeight="1">
      <c r="A111" s="45" t="s">
        <v>296</v>
      </c>
      <c r="E111" s="39" t="s">
        <v>171</v>
      </c>
      <c r="F111" s="46"/>
      <c r="G111" s="39" t="s">
        <v>272</v>
      </c>
      <c r="H111" s="46"/>
    </row>
    <row r="112" ht="15.75" customHeight="1">
      <c r="A112" s="71" t="s">
        <v>281</v>
      </c>
    </row>
    <row r="113" ht="15.75" customHeight="1">
      <c r="A113" s="57" t="s">
        <v>183</v>
      </c>
      <c r="B113" s="20"/>
      <c r="C113" s="21"/>
      <c r="D113" s="21"/>
      <c r="E113" s="21"/>
      <c r="F113" s="21"/>
      <c r="G113" s="21"/>
      <c r="H113" s="22"/>
    </row>
    <row r="114" ht="15.75" customHeight="1">
      <c r="A114" s="57" t="s">
        <v>183</v>
      </c>
      <c r="B114" s="20"/>
      <c r="C114" s="21"/>
      <c r="D114" s="21"/>
      <c r="E114" s="21"/>
      <c r="F114" s="21"/>
      <c r="G114" s="21"/>
      <c r="H114" s="22"/>
    </row>
    <row r="115" ht="15.75" customHeight="1">
      <c r="A115" s="57" t="s">
        <v>183</v>
      </c>
      <c r="B115" s="20"/>
      <c r="C115" s="21"/>
      <c r="D115" s="21"/>
      <c r="E115" s="21"/>
      <c r="F115" s="21"/>
      <c r="G115" s="21"/>
      <c r="H115" s="22"/>
    </row>
    <row r="116" ht="15.75" customHeight="1">
      <c r="A116" s="57" t="s">
        <v>273</v>
      </c>
      <c r="B116" s="20"/>
      <c r="C116" s="21"/>
      <c r="D116" s="21"/>
      <c r="E116" s="21"/>
      <c r="F116" s="21"/>
      <c r="G116" s="21"/>
      <c r="H116" s="22"/>
    </row>
    <row r="117" ht="15.75" customHeight="1">
      <c r="A117" s="54" t="s">
        <v>275</v>
      </c>
      <c r="B117" s="21"/>
      <c r="C117" s="21"/>
      <c r="D117" s="21"/>
      <c r="E117" s="21"/>
      <c r="F117" s="21"/>
      <c r="G117" s="21"/>
      <c r="H117" s="22"/>
    </row>
    <row r="118" ht="15.75" customHeight="1">
      <c r="A118" s="77"/>
      <c r="B118" s="49"/>
      <c r="C118" s="49"/>
      <c r="D118" s="49"/>
      <c r="E118" s="49"/>
      <c r="F118" s="49"/>
      <c r="G118" s="49"/>
      <c r="H118" s="50"/>
    </row>
    <row r="119" ht="15.75" customHeight="1">
      <c r="A119" s="72"/>
      <c r="H119" s="73"/>
    </row>
    <row r="120" ht="15.75" customHeight="1">
      <c r="A120" s="51"/>
      <c r="B120" s="52"/>
      <c r="C120" s="52"/>
      <c r="D120" s="52"/>
      <c r="E120" s="52"/>
      <c r="F120" s="52"/>
      <c r="G120" s="52"/>
      <c r="H120" s="53"/>
    </row>
    <row r="121" ht="15.75" customHeight="1">
      <c r="A121" s="54" t="s">
        <v>277</v>
      </c>
      <c r="B121" s="21"/>
      <c r="C121" s="21"/>
      <c r="D121" s="21"/>
      <c r="E121" s="21"/>
      <c r="F121" s="21"/>
      <c r="G121" s="21"/>
      <c r="H121" s="22"/>
    </row>
    <row r="122" ht="15.75" customHeight="1">
      <c r="A122" s="77"/>
      <c r="B122" s="49"/>
      <c r="C122" s="49"/>
      <c r="D122" s="49"/>
      <c r="E122" s="49"/>
      <c r="F122" s="49"/>
      <c r="G122" s="49"/>
      <c r="H122" s="50"/>
    </row>
    <row r="123" ht="15.75" customHeight="1">
      <c r="A123" s="72"/>
      <c r="H123" s="73"/>
    </row>
    <row r="124" ht="15.75" customHeight="1">
      <c r="A124" s="72"/>
      <c r="H124" s="73"/>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A111:D111"/>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B113:H113"/>
    <mergeCell ref="B114:H114"/>
    <mergeCell ref="B115:H115"/>
    <mergeCell ref="B116:H116"/>
    <mergeCell ref="A117:H117"/>
    <mergeCell ref="A118:H120"/>
    <mergeCell ref="A121:H121"/>
    <mergeCell ref="A122:H125"/>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297</v>
      </c>
    </row>
    <row r="3" ht="15.75" customHeight="1"/>
    <row r="4" ht="15.75" customHeight="1">
      <c r="B4" s="19" t="s">
        <v>1</v>
      </c>
      <c r="C4" s="20" t="str">
        <f>'Diseño'!C4</f>
        <v>795 - Logica de Sitemas</v>
      </c>
      <c r="D4" s="21"/>
      <c r="E4" s="21"/>
      <c r="F4" s="21"/>
      <c r="G4" s="22"/>
    </row>
    <row r="5" ht="15.75" customHeight="1">
      <c r="B5" s="43" t="s">
        <v>126</v>
      </c>
      <c r="C5" s="20">
        <f>H9+H26+H43+H60+H77+H94+H111</f>
        <v>15</v>
      </c>
      <c r="D5" s="21"/>
      <c r="E5" s="21"/>
      <c r="F5" s="21"/>
      <c r="G5" s="22"/>
    </row>
    <row r="6" ht="15.75" customHeight="1">
      <c r="B6" s="43" t="s">
        <v>171</v>
      </c>
      <c r="C6" s="20">
        <f>F9+F26+F43+F60+F77+F94+F111</f>
        <v>0</v>
      </c>
      <c r="D6" s="21"/>
      <c r="E6" s="21"/>
      <c r="F6" s="21"/>
      <c r="G6" s="22"/>
    </row>
    <row r="7" ht="15.75" customHeight="1">
      <c r="B7" s="6" t="s">
        <v>298</v>
      </c>
    </row>
    <row r="8" ht="15.75" customHeight="1"/>
    <row r="9" ht="15.75" customHeight="1">
      <c r="A9" s="45" t="s">
        <v>299</v>
      </c>
      <c r="E9" s="39" t="s">
        <v>171</v>
      </c>
      <c r="F9" s="55">
        <v>0.0</v>
      </c>
      <c r="G9" s="39" t="s">
        <v>272</v>
      </c>
      <c r="H9" s="55">
        <v>2.0</v>
      </c>
    </row>
    <row r="10" ht="15.75" customHeight="1">
      <c r="A10" s="6" t="s">
        <v>285</v>
      </c>
    </row>
    <row r="11" ht="15.75" customHeight="1">
      <c r="A11" s="57" t="s">
        <v>183</v>
      </c>
      <c r="B11" s="34" t="s">
        <v>12</v>
      </c>
      <c r="C11" s="21"/>
      <c r="D11" s="21"/>
      <c r="E11" s="21"/>
      <c r="F11" s="21"/>
      <c r="G11" s="21"/>
      <c r="H11" s="22"/>
    </row>
    <row r="12" ht="15.75" customHeight="1">
      <c r="A12" s="57" t="s">
        <v>183</v>
      </c>
      <c r="B12" s="20"/>
      <c r="C12" s="21"/>
      <c r="D12" s="21"/>
      <c r="E12" s="21"/>
      <c r="F12" s="21"/>
      <c r="G12" s="21"/>
      <c r="H12" s="22"/>
    </row>
    <row r="13" ht="15.75" customHeight="1">
      <c r="A13" s="57" t="s">
        <v>183</v>
      </c>
      <c r="B13" s="20"/>
      <c r="C13" s="21"/>
      <c r="D13" s="21"/>
      <c r="E13" s="21"/>
      <c r="F13" s="21"/>
      <c r="G13" s="21"/>
      <c r="H13" s="22"/>
    </row>
    <row r="14" ht="15.75" customHeight="1">
      <c r="A14" s="57" t="s">
        <v>273</v>
      </c>
      <c r="B14" s="34" t="s">
        <v>300</v>
      </c>
      <c r="C14" s="21"/>
      <c r="D14" s="21"/>
      <c r="E14" s="21"/>
      <c r="F14" s="21"/>
      <c r="G14" s="21"/>
      <c r="H14" s="22"/>
    </row>
    <row r="15" ht="15.75" customHeight="1">
      <c r="A15" s="54" t="s">
        <v>275</v>
      </c>
      <c r="B15" s="21"/>
      <c r="C15" s="21"/>
      <c r="D15" s="21"/>
      <c r="E15" s="21"/>
      <c r="F15" s="21"/>
      <c r="G15" s="21"/>
      <c r="H15" s="22"/>
    </row>
    <row r="16" ht="15.75" customHeight="1">
      <c r="A16" s="95" t="s">
        <v>301</v>
      </c>
      <c r="B16" s="49"/>
      <c r="C16" s="49"/>
      <c r="D16" s="49"/>
      <c r="E16" s="49"/>
      <c r="F16" s="49"/>
      <c r="G16" s="49"/>
      <c r="H16" s="50"/>
    </row>
    <row r="17" ht="15.75" customHeight="1">
      <c r="A17" s="72"/>
      <c r="H17" s="73"/>
    </row>
    <row r="18" ht="15.75" customHeight="1">
      <c r="A18" s="51"/>
      <c r="B18" s="52"/>
      <c r="C18" s="52"/>
      <c r="D18" s="52"/>
      <c r="E18" s="52"/>
      <c r="F18" s="52"/>
      <c r="G18" s="52"/>
      <c r="H18" s="53"/>
    </row>
    <row r="19" ht="15.75" customHeight="1">
      <c r="A19" s="54" t="s">
        <v>277</v>
      </c>
      <c r="B19" s="21"/>
      <c r="C19" s="21"/>
      <c r="D19" s="21"/>
      <c r="E19" s="21"/>
      <c r="F19" s="21"/>
      <c r="G19" s="21"/>
      <c r="H19" s="22"/>
    </row>
    <row r="20" ht="15.75" customHeight="1">
      <c r="A20" s="88" t="s">
        <v>302</v>
      </c>
      <c r="B20" s="49"/>
      <c r="C20" s="49"/>
      <c r="D20" s="49"/>
      <c r="E20" s="49"/>
      <c r="F20" s="49"/>
      <c r="G20" s="49"/>
      <c r="H20" s="50"/>
    </row>
    <row r="21" ht="15.75" customHeight="1">
      <c r="A21" s="72"/>
      <c r="H21" s="73"/>
    </row>
    <row r="22" ht="15.75" customHeight="1">
      <c r="A22" s="72"/>
      <c r="H22" s="73"/>
    </row>
    <row r="23" ht="161.25" customHeight="1">
      <c r="A23" s="51"/>
      <c r="B23" s="52"/>
      <c r="C23" s="52"/>
      <c r="D23" s="52"/>
      <c r="E23" s="52"/>
      <c r="F23" s="52"/>
      <c r="G23" s="52"/>
      <c r="H23" s="53"/>
    </row>
    <row r="24" ht="15.75" customHeight="1"/>
    <row r="25" ht="15.75" customHeight="1"/>
    <row r="26" ht="15.75" customHeight="1">
      <c r="A26" s="45" t="s">
        <v>303</v>
      </c>
      <c r="E26" s="39" t="s">
        <v>171</v>
      </c>
      <c r="F26" s="46"/>
      <c r="G26" s="39" t="s">
        <v>272</v>
      </c>
      <c r="H26" s="55">
        <v>1.0</v>
      </c>
    </row>
    <row r="27" ht="15.75" customHeight="1">
      <c r="A27" s="6" t="s">
        <v>285</v>
      </c>
    </row>
    <row r="28" ht="24.0" customHeight="1">
      <c r="A28" s="57" t="s">
        <v>183</v>
      </c>
      <c r="B28" s="34" t="s">
        <v>33</v>
      </c>
      <c r="C28" s="21"/>
      <c r="D28" s="21"/>
      <c r="E28" s="21"/>
      <c r="F28" s="21"/>
      <c r="G28" s="21"/>
      <c r="H28" s="22"/>
    </row>
    <row r="29" ht="15.75" customHeight="1">
      <c r="A29" s="57" t="s">
        <v>183</v>
      </c>
      <c r="B29" s="20"/>
      <c r="C29" s="21"/>
      <c r="D29" s="21"/>
      <c r="E29" s="21"/>
      <c r="F29" s="21"/>
      <c r="G29" s="21"/>
      <c r="H29" s="22"/>
    </row>
    <row r="30" ht="15.75" customHeight="1">
      <c r="A30" s="57" t="s">
        <v>183</v>
      </c>
      <c r="B30" s="20"/>
      <c r="C30" s="21"/>
      <c r="D30" s="21"/>
      <c r="E30" s="21"/>
      <c r="F30" s="21"/>
      <c r="G30" s="21"/>
      <c r="H30" s="22"/>
    </row>
    <row r="31" ht="15.75" customHeight="1">
      <c r="A31" s="57" t="s">
        <v>273</v>
      </c>
      <c r="B31" s="34" t="s">
        <v>304</v>
      </c>
      <c r="C31" s="21"/>
      <c r="D31" s="21"/>
      <c r="E31" s="21"/>
      <c r="F31" s="21"/>
      <c r="G31" s="21"/>
      <c r="H31" s="22"/>
    </row>
    <row r="32" ht="15.75" customHeight="1">
      <c r="A32" s="54" t="s">
        <v>275</v>
      </c>
      <c r="B32" s="21"/>
      <c r="C32" s="21"/>
      <c r="D32" s="21"/>
      <c r="E32" s="21"/>
      <c r="F32" s="21"/>
      <c r="G32" s="21"/>
      <c r="H32" s="22"/>
    </row>
    <row r="33" ht="15.75" customHeight="1">
      <c r="A33" s="95" t="s">
        <v>305</v>
      </c>
      <c r="B33" s="49"/>
      <c r="C33" s="49"/>
      <c r="D33" s="49"/>
      <c r="E33" s="49"/>
      <c r="F33" s="49"/>
      <c r="G33" s="49"/>
      <c r="H33" s="50"/>
    </row>
    <row r="34" ht="15.75" customHeight="1">
      <c r="A34" s="72"/>
      <c r="H34" s="73"/>
    </row>
    <row r="35" ht="15.75" customHeight="1">
      <c r="A35" s="51"/>
      <c r="B35" s="52"/>
      <c r="C35" s="52"/>
      <c r="D35" s="52"/>
      <c r="E35" s="52"/>
      <c r="F35" s="52"/>
      <c r="G35" s="52"/>
      <c r="H35" s="53"/>
    </row>
    <row r="36" ht="15.75" customHeight="1">
      <c r="A36" s="54" t="s">
        <v>277</v>
      </c>
      <c r="B36" s="21"/>
      <c r="C36" s="21"/>
      <c r="D36" s="21"/>
      <c r="E36" s="21"/>
      <c r="F36" s="21"/>
      <c r="G36" s="21"/>
      <c r="H36" s="22"/>
    </row>
    <row r="37" ht="15.75" customHeight="1">
      <c r="A37" s="96" t="s">
        <v>306</v>
      </c>
      <c r="B37" s="49"/>
      <c r="C37" s="49"/>
      <c r="D37" s="49"/>
      <c r="E37" s="49"/>
      <c r="F37" s="49"/>
      <c r="G37" s="49"/>
      <c r="H37" s="50"/>
    </row>
    <row r="38" ht="15.75" customHeight="1">
      <c r="A38" s="72"/>
      <c r="H38" s="73"/>
    </row>
    <row r="39" ht="15.75" customHeight="1">
      <c r="A39" s="72"/>
      <c r="H39" s="73"/>
    </row>
    <row r="40" ht="21.75" customHeight="1">
      <c r="A40" s="51"/>
      <c r="B40" s="52"/>
      <c r="C40" s="52"/>
      <c r="D40" s="52"/>
      <c r="E40" s="52"/>
      <c r="F40" s="52"/>
      <c r="G40" s="52"/>
      <c r="H40" s="53"/>
    </row>
    <row r="41" ht="15.75" customHeight="1"/>
    <row r="42" ht="15.75" customHeight="1"/>
    <row r="43" ht="15.75" customHeight="1">
      <c r="A43" s="45" t="s">
        <v>307</v>
      </c>
      <c r="E43" s="39" t="s">
        <v>171</v>
      </c>
      <c r="F43" s="55">
        <v>0.0</v>
      </c>
      <c r="G43" s="39" t="s">
        <v>272</v>
      </c>
      <c r="H43" s="55">
        <v>2.0</v>
      </c>
    </row>
    <row r="44" ht="15.75" customHeight="1">
      <c r="A44" s="71" t="s">
        <v>281</v>
      </c>
    </row>
    <row r="45" ht="15.75" customHeight="1">
      <c r="A45" s="57" t="s">
        <v>183</v>
      </c>
      <c r="B45" s="34" t="s">
        <v>49</v>
      </c>
      <c r="C45" s="21"/>
      <c r="D45" s="21"/>
      <c r="E45" s="21"/>
      <c r="F45" s="21"/>
      <c r="G45" s="21"/>
      <c r="H45" s="22"/>
    </row>
    <row r="46" ht="15.75" customHeight="1">
      <c r="A46" s="57" t="s">
        <v>183</v>
      </c>
      <c r="B46" s="20"/>
      <c r="C46" s="21"/>
      <c r="D46" s="21"/>
      <c r="E46" s="21"/>
      <c r="F46" s="21"/>
      <c r="G46" s="21"/>
      <c r="H46" s="22"/>
    </row>
    <row r="47" ht="15.75" customHeight="1">
      <c r="A47" s="57" t="s">
        <v>183</v>
      </c>
      <c r="B47" s="20"/>
      <c r="C47" s="21"/>
      <c r="D47" s="21"/>
      <c r="E47" s="21"/>
      <c r="F47" s="21"/>
      <c r="G47" s="21"/>
      <c r="H47" s="22"/>
    </row>
    <row r="48" ht="15.75" customHeight="1">
      <c r="A48" s="57" t="s">
        <v>273</v>
      </c>
      <c r="B48" s="34" t="s">
        <v>308</v>
      </c>
      <c r="C48" s="21"/>
      <c r="D48" s="21"/>
      <c r="E48" s="21"/>
      <c r="F48" s="21"/>
      <c r="G48" s="21"/>
      <c r="H48" s="22"/>
    </row>
    <row r="49" ht="15.75" customHeight="1">
      <c r="A49" s="54" t="s">
        <v>275</v>
      </c>
      <c r="B49" s="21"/>
      <c r="C49" s="21"/>
      <c r="D49" s="21"/>
      <c r="E49" s="21"/>
      <c r="F49" s="21"/>
      <c r="G49" s="21"/>
      <c r="H49" s="22"/>
    </row>
    <row r="50" ht="15.75" customHeight="1">
      <c r="A50" s="48" t="s">
        <v>309</v>
      </c>
      <c r="B50" s="49"/>
      <c r="C50" s="49"/>
      <c r="D50" s="49"/>
      <c r="E50" s="49"/>
      <c r="F50" s="49"/>
      <c r="G50" s="49"/>
      <c r="H50" s="50"/>
    </row>
    <row r="51" ht="15.75" customHeight="1">
      <c r="A51" s="72"/>
      <c r="H51" s="73"/>
    </row>
    <row r="52" ht="29.25" customHeight="1">
      <c r="A52" s="51"/>
      <c r="B52" s="52"/>
      <c r="C52" s="52"/>
      <c r="D52" s="52"/>
      <c r="E52" s="52"/>
      <c r="F52" s="52"/>
      <c r="G52" s="52"/>
      <c r="H52" s="53"/>
    </row>
    <row r="53" ht="15.75" customHeight="1">
      <c r="A53" s="54" t="s">
        <v>277</v>
      </c>
      <c r="B53" s="21"/>
      <c r="C53" s="21"/>
      <c r="D53" s="21"/>
      <c r="E53" s="21"/>
      <c r="F53" s="21"/>
      <c r="G53" s="21"/>
      <c r="H53" s="22"/>
    </row>
    <row r="54" ht="15.75" customHeight="1">
      <c r="A54" s="88" t="s">
        <v>310</v>
      </c>
      <c r="B54" s="49"/>
      <c r="C54" s="49"/>
      <c r="D54" s="49"/>
      <c r="E54" s="49"/>
      <c r="F54" s="49"/>
      <c r="G54" s="49"/>
      <c r="H54" s="50"/>
    </row>
    <row r="55" ht="15.75" customHeight="1">
      <c r="A55" s="72"/>
      <c r="H55" s="73"/>
    </row>
    <row r="56" ht="15.75" customHeight="1">
      <c r="A56" s="72"/>
      <c r="H56" s="73"/>
    </row>
    <row r="57" ht="15.75" customHeight="1">
      <c r="A57" s="51"/>
      <c r="B57" s="52"/>
      <c r="C57" s="52"/>
      <c r="D57" s="52"/>
      <c r="E57" s="52"/>
      <c r="F57" s="52"/>
      <c r="G57" s="52"/>
      <c r="H57" s="53"/>
    </row>
    <row r="58" ht="15.75" customHeight="1"/>
    <row r="59" ht="15.75" customHeight="1"/>
    <row r="60" ht="15.75" customHeight="1">
      <c r="A60" s="45" t="s">
        <v>311</v>
      </c>
      <c r="E60" s="39" t="s">
        <v>171</v>
      </c>
      <c r="F60" s="55">
        <v>0.0</v>
      </c>
      <c r="G60" s="39" t="s">
        <v>272</v>
      </c>
      <c r="H60" s="55">
        <v>2.0</v>
      </c>
    </row>
    <row r="61" ht="15.75" customHeight="1">
      <c r="A61" s="71" t="s">
        <v>281</v>
      </c>
    </row>
    <row r="62" ht="15.75" customHeight="1">
      <c r="A62" s="57" t="s">
        <v>183</v>
      </c>
      <c r="B62" s="34" t="s">
        <v>12</v>
      </c>
      <c r="C62" s="21"/>
      <c r="D62" s="21"/>
      <c r="E62" s="21"/>
      <c r="F62" s="21"/>
      <c r="G62" s="21"/>
      <c r="H62" s="22"/>
    </row>
    <row r="63" ht="15.75" customHeight="1">
      <c r="A63" s="57" t="s">
        <v>183</v>
      </c>
      <c r="B63" s="20"/>
      <c r="C63" s="21"/>
      <c r="D63" s="21"/>
      <c r="E63" s="21"/>
      <c r="F63" s="21"/>
      <c r="G63" s="21"/>
      <c r="H63" s="22"/>
    </row>
    <row r="64" ht="15.75" customHeight="1">
      <c r="A64" s="57" t="s">
        <v>183</v>
      </c>
      <c r="B64" s="20"/>
      <c r="C64" s="21"/>
      <c r="D64" s="21"/>
      <c r="E64" s="21"/>
      <c r="F64" s="21"/>
      <c r="G64" s="21"/>
      <c r="H64" s="22"/>
    </row>
    <row r="65" ht="15.75" customHeight="1">
      <c r="A65" s="57" t="s">
        <v>273</v>
      </c>
      <c r="B65" s="34" t="s">
        <v>312</v>
      </c>
      <c r="C65" s="78"/>
      <c r="D65" s="78"/>
      <c r="E65" s="78"/>
      <c r="F65" s="78"/>
      <c r="G65" s="78"/>
      <c r="H65" s="79"/>
    </row>
    <row r="66" ht="15.75" customHeight="1">
      <c r="A66" s="54" t="s">
        <v>275</v>
      </c>
      <c r="B66" s="21"/>
      <c r="C66" s="21"/>
      <c r="D66" s="21"/>
      <c r="E66" s="21"/>
      <c r="F66" s="21"/>
      <c r="G66" s="21"/>
      <c r="H66" s="22"/>
    </row>
    <row r="67" ht="15.75" customHeight="1">
      <c r="A67" s="48" t="s">
        <v>309</v>
      </c>
      <c r="B67" s="49"/>
      <c r="C67" s="49"/>
      <c r="D67" s="49"/>
      <c r="E67" s="49"/>
      <c r="F67" s="49"/>
      <c r="G67" s="49"/>
      <c r="H67" s="50"/>
    </row>
    <row r="68" ht="15.75" customHeight="1">
      <c r="A68" s="72"/>
      <c r="H68" s="73"/>
    </row>
    <row r="69" ht="41.25" customHeight="1">
      <c r="A69" s="51"/>
      <c r="B69" s="52"/>
      <c r="C69" s="52"/>
      <c r="D69" s="52"/>
      <c r="E69" s="52"/>
      <c r="F69" s="52"/>
      <c r="G69" s="52"/>
      <c r="H69" s="53"/>
    </row>
    <row r="70" ht="15.75" customHeight="1">
      <c r="A70" s="54" t="s">
        <v>277</v>
      </c>
      <c r="B70" s="21"/>
      <c r="C70" s="21"/>
      <c r="D70" s="21"/>
      <c r="E70" s="21"/>
      <c r="F70" s="21"/>
      <c r="G70" s="21"/>
      <c r="H70" s="22"/>
    </row>
    <row r="71" ht="15.75" customHeight="1">
      <c r="A71" s="48" t="s">
        <v>313</v>
      </c>
      <c r="B71" s="49"/>
      <c r="C71" s="49"/>
      <c r="D71" s="49"/>
      <c r="E71" s="49"/>
      <c r="F71" s="49"/>
      <c r="G71" s="49"/>
      <c r="H71" s="50"/>
    </row>
    <row r="72" ht="15.75" customHeight="1">
      <c r="A72" s="72"/>
      <c r="H72" s="73"/>
    </row>
    <row r="73" ht="15.75" customHeight="1">
      <c r="A73" s="72"/>
      <c r="H73" s="73"/>
    </row>
    <row r="74" ht="48.0" customHeight="1">
      <c r="A74" s="51"/>
      <c r="B74" s="52"/>
      <c r="C74" s="52"/>
      <c r="D74" s="52"/>
      <c r="E74" s="52"/>
      <c r="F74" s="52"/>
      <c r="G74" s="52"/>
      <c r="H74" s="53"/>
    </row>
    <row r="75" ht="15.75" customHeight="1"/>
    <row r="76" ht="15.75" customHeight="1"/>
    <row r="77" ht="15.75" customHeight="1">
      <c r="A77" s="45" t="s">
        <v>314</v>
      </c>
      <c r="E77" s="39" t="s">
        <v>171</v>
      </c>
      <c r="F77" s="46"/>
      <c r="G77" s="39" t="s">
        <v>272</v>
      </c>
      <c r="H77" s="55">
        <v>3.0</v>
      </c>
    </row>
    <row r="78" ht="15.75" customHeight="1">
      <c r="A78" s="71" t="s">
        <v>281</v>
      </c>
    </row>
    <row r="79" ht="15.75" customHeight="1">
      <c r="A79" s="57" t="s">
        <v>183</v>
      </c>
      <c r="B79" s="34" t="s">
        <v>49</v>
      </c>
      <c r="C79" s="21"/>
      <c r="D79" s="21"/>
      <c r="E79" s="21"/>
      <c r="F79" s="21"/>
      <c r="G79" s="21"/>
      <c r="H79" s="22"/>
    </row>
    <row r="80" ht="15.75" customHeight="1">
      <c r="A80" s="57" t="s">
        <v>183</v>
      </c>
      <c r="B80" s="20"/>
      <c r="C80" s="21"/>
      <c r="D80" s="21"/>
      <c r="E80" s="21"/>
      <c r="F80" s="21"/>
      <c r="G80" s="21"/>
      <c r="H80" s="22"/>
    </row>
    <row r="81" ht="15.75" customHeight="1">
      <c r="A81" s="57" t="s">
        <v>183</v>
      </c>
      <c r="B81" s="20"/>
      <c r="C81" s="21"/>
      <c r="D81" s="21"/>
      <c r="E81" s="21"/>
      <c r="F81" s="21"/>
      <c r="G81" s="21"/>
      <c r="H81" s="22"/>
    </row>
    <row r="82" ht="15.75" customHeight="1">
      <c r="A82" s="57" t="s">
        <v>273</v>
      </c>
      <c r="B82" s="34" t="s">
        <v>315</v>
      </c>
      <c r="C82" s="21"/>
      <c r="D82" s="21"/>
      <c r="E82" s="21"/>
      <c r="F82" s="21"/>
      <c r="G82" s="21"/>
      <c r="H82" s="22"/>
    </row>
    <row r="83" ht="15.75" customHeight="1">
      <c r="A83" s="54" t="s">
        <v>275</v>
      </c>
      <c r="B83" s="21"/>
      <c r="C83" s="21"/>
      <c r="D83" s="21"/>
      <c r="E83" s="21"/>
      <c r="F83" s="21"/>
      <c r="G83" s="21"/>
      <c r="H83" s="22"/>
    </row>
    <row r="84" ht="15.75" customHeight="1">
      <c r="A84" s="95" t="s">
        <v>316</v>
      </c>
      <c r="B84" s="49"/>
      <c r="C84" s="49"/>
      <c r="D84" s="49"/>
      <c r="E84" s="49"/>
      <c r="F84" s="49"/>
      <c r="G84" s="49"/>
      <c r="H84" s="50"/>
    </row>
    <row r="85" ht="15.75" customHeight="1">
      <c r="A85" s="72"/>
      <c r="H85" s="73"/>
    </row>
    <row r="86" ht="15.75" customHeight="1">
      <c r="A86" s="51"/>
      <c r="B86" s="52"/>
      <c r="C86" s="52"/>
      <c r="D86" s="52"/>
      <c r="E86" s="52"/>
      <c r="F86" s="52"/>
      <c r="G86" s="52"/>
      <c r="H86" s="53"/>
    </row>
    <row r="87" ht="15.75" customHeight="1">
      <c r="A87" s="54" t="s">
        <v>277</v>
      </c>
      <c r="B87" s="21"/>
      <c r="C87" s="21"/>
      <c r="D87" s="21"/>
      <c r="E87" s="21"/>
      <c r="F87" s="21"/>
      <c r="G87" s="21"/>
      <c r="H87" s="22"/>
    </row>
    <row r="88" ht="15.75" customHeight="1">
      <c r="A88" s="88" t="s">
        <v>317</v>
      </c>
      <c r="B88" s="49"/>
      <c r="C88" s="49"/>
      <c r="D88" s="49"/>
      <c r="E88" s="49"/>
      <c r="F88" s="49"/>
      <c r="G88" s="49"/>
      <c r="H88" s="50"/>
    </row>
    <row r="89" ht="15.75" customHeight="1">
      <c r="A89" s="72"/>
      <c r="H89" s="73"/>
    </row>
    <row r="90" ht="15.75" customHeight="1">
      <c r="A90" s="72"/>
      <c r="H90" s="73"/>
    </row>
    <row r="91" ht="15.75" customHeight="1">
      <c r="A91" s="51"/>
      <c r="B91" s="52"/>
      <c r="C91" s="52"/>
      <c r="D91" s="52"/>
      <c r="E91" s="52"/>
      <c r="F91" s="52"/>
      <c r="G91" s="52"/>
      <c r="H91" s="53"/>
    </row>
    <row r="92" ht="15.75" customHeight="1"/>
    <row r="93" ht="15.75" customHeight="1"/>
    <row r="94" ht="15.75" customHeight="1">
      <c r="A94" s="45" t="s">
        <v>318</v>
      </c>
      <c r="E94" s="39" t="s">
        <v>171</v>
      </c>
      <c r="F94" s="55">
        <v>0.0</v>
      </c>
      <c r="G94" s="39" t="s">
        <v>272</v>
      </c>
      <c r="H94" s="55">
        <v>3.0</v>
      </c>
    </row>
    <row r="95" ht="15.75" customHeight="1">
      <c r="A95" s="71" t="s">
        <v>281</v>
      </c>
    </row>
    <row r="96" ht="15.75" customHeight="1">
      <c r="A96" s="57" t="s">
        <v>183</v>
      </c>
      <c r="B96" s="34" t="s">
        <v>108</v>
      </c>
      <c r="C96" s="21"/>
      <c r="D96" s="21"/>
      <c r="E96" s="21"/>
      <c r="F96" s="21"/>
      <c r="G96" s="21"/>
      <c r="H96" s="22"/>
    </row>
    <row r="97" ht="15.75" customHeight="1">
      <c r="A97" s="57" t="s">
        <v>183</v>
      </c>
      <c r="B97" s="20"/>
      <c r="C97" s="21"/>
      <c r="D97" s="21"/>
      <c r="E97" s="21"/>
      <c r="F97" s="21"/>
      <c r="G97" s="21"/>
      <c r="H97" s="22"/>
    </row>
    <row r="98" ht="15.75" customHeight="1">
      <c r="A98" s="57" t="s">
        <v>183</v>
      </c>
      <c r="B98" s="20"/>
      <c r="C98" s="21"/>
      <c r="D98" s="21"/>
      <c r="E98" s="21"/>
      <c r="F98" s="21"/>
      <c r="G98" s="21"/>
      <c r="H98" s="22"/>
    </row>
    <row r="99" ht="15.75" customHeight="1">
      <c r="A99" s="57" t="s">
        <v>273</v>
      </c>
      <c r="B99" s="34" t="s">
        <v>319</v>
      </c>
      <c r="C99" s="21"/>
      <c r="D99" s="21"/>
      <c r="E99" s="21"/>
      <c r="F99" s="21"/>
      <c r="G99" s="21"/>
      <c r="H99" s="22"/>
    </row>
    <row r="100" ht="15.75" customHeight="1">
      <c r="A100" s="54" t="s">
        <v>275</v>
      </c>
      <c r="B100" s="21"/>
      <c r="C100" s="21"/>
      <c r="D100" s="21"/>
      <c r="E100" s="21"/>
      <c r="F100" s="21"/>
      <c r="G100" s="21"/>
      <c r="H100" s="22"/>
    </row>
    <row r="101" ht="15.75" customHeight="1">
      <c r="A101" s="48" t="s">
        <v>309</v>
      </c>
      <c r="B101" s="49"/>
      <c r="C101" s="49"/>
      <c r="D101" s="49"/>
      <c r="E101" s="49"/>
      <c r="F101" s="49"/>
      <c r="G101" s="49"/>
      <c r="H101" s="50"/>
    </row>
    <row r="102" ht="15.75" customHeight="1">
      <c r="A102" s="72"/>
      <c r="H102" s="73"/>
    </row>
    <row r="103" ht="32.25" customHeight="1">
      <c r="A103" s="51"/>
      <c r="B103" s="52"/>
      <c r="C103" s="52"/>
      <c r="D103" s="52"/>
      <c r="E103" s="52"/>
      <c r="F103" s="52"/>
      <c r="G103" s="52"/>
      <c r="H103" s="53"/>
    </row>
    <row r="104" ht="15.75" customHeight="1">
      <c r="A104" s="54" t="s">
        <v>277</v>
      </c>
      <c r="B104" s="21"/>
      <c r="C104" s="21"/>
      <c r="D104" s="21"/>
      <c r="E104" s="21"/>
      <c r="F104" s="21"/>
      <c r="G104" s="21"/>
      <c r="H104" s="22"/>
    </row>
    <row r="105" ht="15.75" customHeight="1">
      <c r="A105" s="48" t="s">
        <v>320</v>
      </c>
      <c r="B105" s="49"/>
      <c r="C105" s="49"/>
      <c r="D105" s="49"/>
      <c r="E105" s="49"/>
      <c r="F105" s="49"/>
      <c r="G105" s="49"/>
      <c r="H105" s="50"/>
    </row>
    <row r="106" ht="15.75" customHeight="1">
      <c r="A106" s="72"/>
      <c r="H106" s="73"/>
    </row>
    <row r="107" ht="15.75" customHeight="1">
      <c r="A107" s="72"/>
      <c r="H107" s="73"/>
    </row>
    <row r="108" ht="39.75" customHeight="1">
      <c r="A108" s="51"/>
      <c r="B108" s="52"/>
      <c r="C108" s="52"/>
      <c r="D108" s="52"/>
      <c r="E108" s="52"/>
      <c r="F108" s="52"/>
      <c r="G108" s="52"/>
      <c r="H108" s="53"/>
    </row>
    <row r="109" ht="15.75" customHeight="1"/>
    <row r="110" ht="15.75" customHeight="1"/>
    <row r="111" ht="15.75" customHeight="1">
      <c r="A111" s="45" t="s">
        <v>321</v>
      </c>
      <c r="E111" s="39" t="s">
        <v>171</v>
      </c>
      <c r="F111" s="46"/>
      <c r="G111" s="39" t="s">
        <v>272</v>
      </c>
      <c r="H111" s="55">
        <v>2.0</v>
      </c>
    </row>
    <row r="112" ht="15.75" customHeight="1">
      <c r="A112" s="71" t="s">
        <v>281</v>
      </c>
    </row>
    <row r="113" ht="15.75" customHeight="1">
      <c r="A113" s="57" t="s">
        <v>183</v>
      </c>
      <c r="B113" s="34" t="s">
        <v>49</v>
      </c>
      <c r="C113" s="21"/>
      <c r="D113" s="21"/>
      <c r="E113" s="21"/>
      <c r="F113" s="21"/>
      <c r="G113" s="21"/>
      <c r="H113" s="22"/>
    </row>
    <row r="114" ht="15.75" customHeight="1">
      <c r="A114" s="57" t="s">
        <v>183</v>
      </c>
      <c r="B114" s="20"/>
      <c r="C114" s="21"/>
      <c r="D114" s="21"/>
      <c r="E114" s="21"/>
      <c r="F114" s="21"/>
      <c r="G114" s="21"/>
      <c r="H114" s="22"/>
    </row>
    <row r="115" ht="15.75" customHeight="1">
      <c r="A115" s="57" t="s">
        <v>183</v>
      </c>
      <c r="B115" s="20"/>
      <c r="C115" s="21"/>
      <c r="D115" s="21"/>
      <c r="E115" s="21"/>
      <c r="F115" s="21"/>
      <c r="G115" s="21"/>
      <c r="H115" s="22"/>
    </row>
    <row r="116" ht="15.75" customHeight="1">
      <c r="A116" s="57" t="s">
        <v>273</v>
      </c>
      <c r="B116" s="34" t="s">
        <v>322</v>
      </c>
      <c r="C116" s="21"/>
      <c r="D116" s="21"/>
      <c r="E116" s="21"/>
      <c r="F116" s="21"/>
      <c r="G116" s="21"/>
      <c r="H116" s="22"/>
    </row>
    <row r="117" ht="15.75" customHeight="1">
      <c r="A117" s="54" t="s">
        <v>275</v>
      </c>
      <c r="B117" s="21"/>
      <c r="C117" s="21"/>
      <c r="D117" s="21"/>
      <c r="E117" s="21"/>
      <c r="F117" s="21"/>
      <c r="G117" s="21"/>
      <c r="H117" s="22"/>
    </row>
    <row r="118" ht="15.75" customHeight="1">
      <c r="A118" s="48" t="s">
        <v>309</v>
      </c>
      <c r="B118" s="49"/>
      <c r="C118" s="49"/>
      <c r="D118" s="49"/>
      <c r="E118" s="49"/>
      <c r="F118" s="49"/>
      <c r="G118" s="49"/>
      <c r="H118" s="50"/>
    </row>
    <row r="119" ht="15.75" customHeight="1">
      <c r="A119" s="72"/>
      <c r="H119" s="73"/>
    </row>
    <row r="120" ht="30.75" customHeight="1">
      <c r="A120" s="51"/>
      <c r="B120" s="52"/>
      <c r="C120" s="52"/>
      <c r="D120" s="52"/>
      <c r="E120" s="52"/>
      <c r="F120" s="52"/>
      <c r="G120" s="52"/>
      <c r="H120" s="53"/>
    </row>
    <row r="121" ht="15.75" customHeight="1">
      <c r="A121" s="54" t="s">
        <v>277</v>
      </c>
      <c r="B121" s="21"/>
      <c r="C121" s="21"/>
      <c r="D121" s="21"/>
      <c r="E121" s="21"/>
      <c r="F121" s="21"/>
      <c r="G121" s="21"/>
      <c r="H121" s="22"/>
    </row>
    <row r="122" ht="15.75" customHeight="1">
      <c r="A122" s="97" t="s">
        <v>323</v>
      </c>
      <c r="B122" s="49"/>
      <c r="C122" s="49"/>
      <c r="D122" s="49"/>
      <c r="E122" s="49"/>
      <c r="F122" s="49"/>
      <c r="G122" s="49"/>
      <c r="H122" s="50"/>
    </row>
    <row r="123" ht="15.75" customHeight="1">
      <c r="A123" s="72"/>
      <c r="H123" s="73"/>
    </row>
    <row r="124" ht="15.75" customHeight="1">
      <c r="A124" s="72"/>
      <c r="H124" s="73"/>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B82:H82"/>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A66:H66"/>
    <mergeCell ref="A67:H69"/>
    <mergeCell ref="A70:H70"/>
    <mergeCell ref="A71:H74"/>
    <mergeCell ref="A77:D77"/>
    <mergeCell ref="B79:H79"/>
    <mergeCell ref="B80:H80"/>
    <mergeCell ref="B81:H81"/>
    <mergeCell ref="A121:H121"/>
    <mergeCell ref="A122:H125"/>
    <mergeCell ref="A111:D111"/>
    <mergeCell ref="B113:H113"/>
    <mergeCell ref="B114:H114"/>
    <mergeCell ref="B115:H115"/>
    <mergeCell ref="B116:H116"/>
    <mergeCell ref="A117:H117"/>
    <mergeCell ref="A118:H120"/>
  </mergeCells>
  <dataValidations>
    <dataValidation type="list" allowBlank="1" showErrorMessage="1" sqref="B11:B13 B28:B30 B45:B47 B62:B64 B79:B81 B96:B98 B113:B115">
      <formula1>METADATA!$I$17:$I$40</formula1>
    </dataValidation>
  </dataValidations>
  <hyperlinks>
    <hyperlink r:id="rId1" ref="A16"/>
    <hyperlink r:id="rId2" ref="A33"/>
    <hyperlink r:id="rId3" ref="A84"/>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8"/>
    </row>
    <row r="2" ht="15.75" customHeight="1">
      <c r="A2" s="18"/>
      <c r="B2" s="41" t="s">
        <v>324</v>
      </c>
    </row>
    <row r="3" ht="15.75" customHeight="1">
      <c r="A3" s="18"/>
    </row>
    <row r="4" ht="15.75" customHeight="1">
      <c r="A4" s="18"/>
      <c r="B4" s="3" t="s">
        <v>1</v>
      </c>
      <c r="C4" s="3" t="str">
        <f>'Diseño'!C4</f>
        <v>795 - Logica de Sitemas</v>
      </c>
    </row>
    <row r="5" ht="15.75" customHeight="1">
      <c r="A5" s="18"/>
      <c r="B5" s="18" t="s">
        <v>3</v>
      </c>
      <c r="C5" s="5" t="s">
        <v>4</v>
      </c>
    </row>
    <row r="6" ht="15.75" customHeight="1">
      <c r="A6" s="18"/>
      <c r="B6" s="18" t="s">
        <v>325</v>
      </c>
      <c r="H6" s="98"/>
    </row>
    <row r="7" ht="15.75" customHeight="1">
      <c r="A7" s="18"/>
    </row>
    <row r="8" ht="15.75" customHeight="1">
      <c r="A8" s="18"/>
    </row>
    <row r="9" ht="15.75" customHeight="1">
      <c r="A9" s="39" t="s">
        <v>326</v>
      </c>
      <c r="B9" s="99"/>
      <c r="D9" s="39" t="s">
        <v>269</v>
      </c>
      <c r="E9" s="100"/>
      <c r="F9" s="101"/>
      <c r="G9" s="101"/>
      <c r="H9" s="101"/>
      <c r="I9" s="101"/>
      <c r="J9" s="101"/>
      <c r="K9" s="101"/>
      <c r="L9" s="101"/>
      <c r="M9" s="101"/>
      <c r="N9" s="101"/>
      <c r="O9" s="101"/>
      <c r="P9" s="101"/>
      <c r="Q9" s="101"/>
      <c r="R9" s="101"/>
      <c r="S9" s="101"/>
      <c r="T9" s="101"/>
      <c r="U9" s="101"/>
      <c r="V9" s="101"/>
      <c r="W9" s="101"/>
      <c r="X9" s="101"/>
      <c r="Y9" s="101"/>
      <c r="Z9" s="101"/>
    </row>
    <row r="10" ht="23.25" customHeight="1">
      <c r="A10" s="102" t="s">
        <v>327</v>
      </c>
      <c r="D10" s="102" t="s">
        <v>328</v>
      </c>
    </row>
    <row r="11" ht="15.75" customHeight="1">
      <c r="A11" s="103"/>
      <c r="B11" s="104"/>
      <c r="C11" s="104"/>
      <c r="D11" s="104"/>
    </row>
    <row r="12" ht="15.75" customHeight="1">
      <c r="A12" s="105" t="s">
        <v>204</v>
      </c>
      <c r="B12" s="106" t="s">
        <v>329</v>
      </c>
      <c r="C12" s="106" t="s">
        <v>330</v>
      </c>
      <c r="D12" s="106" t="s">
        <v>331</v>
      </c>
    </row>
    <row r="13" ht="15.75" customHeight="1">
      <c r="A13" s="43" t="s">
        <v>332</v>
      </c>
      <c r="B13" s="23"/>
      <c r="C13" s="23"/>
      <c r="D13" s="23"/>
      <c r="E13" s="102" t="s">
        <v>333</v>
      </c>
    </row>
    <row r="14" ht="15.75" customHeight="1">
      <c r="A14" s="43" t="s">
        <v>269</v>
      </c>
      <c r="B14" s="23">
        <f>Proyectos!C6</f>
        <v>0</v>
      </c>
      <c r="C14" s="23">
        <f>Proyectos!C5</f>
        <v>15</v>
      </c>
      <c r="D14" s="23"/>
    </row>
    <row r="15" ht="15.75" customHeight="1">
      <c r="A15" s="43" t="s">
        <v>282</v>
      </c>
      <c r="B15" s="23">
        <f>Practicas!C6</f>
        <v>0</v>
      </c>
      <c r="C15" s="23">
        <f>Practicas!C5</f>
        <v>7</v>
      </c>
      <c r="D15" s="23"/>
    </row>
    <row r="16" ht="15.75" customHeight="1">
      <c r="A16" s="43" t="s">
        <v>297</v>
      </c>
      <c r="B16" s="23">
        <f>Tareas!C6</f>
        <v>0</v>
      </c>
      <c r="C16" s="23">
        <f>Tareas!C5</f>
        <v>15</v>
      </c>
      <c r="D16" s="23"/>
    </row>
    <row r="17" ht="15.75" customHeight="1">
      <c r="A17" s="107" t="s">
        <v>334</v>
      </c>
      <c r="B17" s="108">
        <f t="shared" ref="B17:C17" si="1">SUM(B13:B16)</f>
        <v>0</v>
      </c>
      <c r="C17" s="108">
        <f t="shared" si="1"/>
        <v>37</v>
      </c>
      <c r="D17" s="108"/>
    </row>
    <row r="18" ht="15.75" customHeight="1">
      <c r="A18" s="18"/>
    </row>
    <row r="19" ht="15.75" customHeight="1">
      <c r="A19" s="18"/>
    </row>
    <row r="20" ht="15.75" customHeight="1">
      <c r="A20" s="18"/>
    </row>
    <row r="21" ht="15.75" customHeight="1">
      <c r="A21" s="18"/>
    </row>
    <row r="22" ht="15.75" customHeight="1">
      <c r="A22" s="18"/>
    </row>
    <row r="23" ht="15.75" customHeight="1">
      <c r="A23" s="18"/>
    </row>
    <row r="24" ht="15.75" customHeight="1">
      <c r="A24" s="18"/>
    </row>
    <row r="25" ht="15.75" customHeight="1">
      <c r="A25" s="18"/>
    </row>
    <row r="26" ht="15.75" customHeight="1">
      <c r="A26" s="18"/>
    </row>
    <row r="27" ht="15.75" customHeight="1">
      <c r="A27" s="18"/>
    </row>
    <row r="28" ht="15.75" customHeight="1">
      <c r="A28" s="18"/>
    </row>
    <row r="29" ht="15.75" customHeight="1">
      <c r="A29" s="18"/>
    </row>
    <row r="30" ht="15.75" customHeight="1">
      <c r="A30" s="18"/>
    </row>
    <row r="31" ht="15.75" customHeight="1">
      <c r="A31" s="18"/>
    </row>
    <row r="32" ht="15.75" customHeight="1">
      <c r="A32" s="18"/>
    </row>
    <row r="33" ht="15.75" customHeight="1">
      <c r="A33" s="18"/>
    </row>
    <row r="34" ht="15.75" customHeight="1">
      <c r="A34" s="18"/>
    </row>
    <row r="35" ht="15.75" customHeight="1">
      <c r="A35" s="18"/>
    </row>
    <row r="36" ht="15.75" customHeight="1">
      <c r="A36" s="18"/>
    </row>
    <row r="37" ht="15.75" customHeight="1">
      <c r="A37" s="18"/>
    </row>
    <row r="38" ht="15.75" customHeight="1">
      <c r="A38" s="18"/>
    </row>
    <row r="39" ht="15.75" customHeight="1">
      <c r="A39" s="18"/>
    </row>
    <row r="40" ht="15.75" customHeight="1">
      <c r="A40" s="18"/>
    </row>
    <row r="41" ht="15.75" customHeight="1">
      <c r="A41" s="18"/>
    </row>
    <row r="42" ht="15.75" customHeight="1">
      <c r="A42" s="18"/>
    </row>
    <row r="43" ht="15.75" customHeight="1">
      <c r="A43" s="18"/>
    </row>
    <row r="44" ht="15.75" customHeight="1">
      <c r="A44" s="18"/>
    </row>
    <row r="45" ht="15.75" customHeight="1">
      <c r="A45" s="18"/>
    </row>
    <row r="46" ht="15.75" customHeight="1">
      <c r="A46" s="18"/>
    </row>
    <row r="47" ht="15.75" customHeight="1">
      <c r="A47" s="18"/>
    </row>
    <row r="48" ht="15.75" customHeight="1">
      <c r="A48" s="18"/>
    </row>
    <row r="49" ht="15.75" customHeight="1">
      <c r="A49" s="18"/>
    </row>
    <row r="50" ht="15.75" customHeight="1">
      <c r="A50" s="18"/>
    </row>
    <row r="51" ht="15.75" customHeight="1">
      <c r="A51" s="18"/>
    </row>
    <row r="52" ht="15.75" customHeight="1">
      <c r="A52" s="18"/>
    </row>
    <row r="53" ht="15.75" customHeight="1">
      <c r="A53" s="18"/>
    </row>
    <row r="54" ht="15.75" customHeight="1">
      <c r="A54" s="18"/>
    </row>
    <row r="55" ht="15.75" customHeight="1">
      <c r="A55" s="18"/>
    </row>
    <row r="56" ht="15.75" customHeight="1">
      <c r="A56" s="18"/>
    </row>
    <row r="57" ht="15.75" customHeight="1">
      <c r="A57" s="18"/>
    </row>
    <row r="58" ht="15.75" customHeight="1">
      <c r="A58" s="18"/>
    </row>
    <row r="59" ht="15.75" customHeight="1">
      <c r="A59" s="18"/>
    </row>
    <row r="60" ht="15.75" customHeight="1">
      <c r="A60" s="18"/>
    </row>
    <row r="61" ht="15.75" customHeight="1">
      <c r="A61" s="18"/>
    </row>
    <row r="62" ht="15.75" customHeight="1">
      <c r="A62" s="18"/>
    </row>
    <row r="63" ht="15.75" customHeight="1">
      <c r="A63" s="18"/>
    </row>
    <row r="64" ht="15.75" customHeight="1">
      <c r="A64" s="18"/>
    </row>
    <row r="65" ht="15.75" customHeight="1">
      <c r="A65" s="18"/>
    </row>
    <row r="66" ht="15.75" customHeight="1">
      <c r="A66" s="18"/>
    </row>
    <row r="67" ht="15.75" customHeight="1">
      <c r="A67" s="18"/>
    </row>
    <row r="68" ht="15.75" customHeight="1">
      <c r="A68" s="18"/>
    </row>
    <row r="69" ht="15.75" customHeight="1">
      <c r="A69" s="18"/>
    </row>
    <row r="70" ht="15.75" customHeight="1">
      <c r="A70" s="18"/>
    </row>
    <row r="71" ht="15.75" customHeight="1">
      <c r="A71" s="18"/>
    </row>
    <row r="72" ht="15.75" customHeight="1">
      <c r="A72" s="18"/>
    </row>
    <row r="73" ht="15.75" customHeight="1">
      <c r="A73" s="18"/>
    </row>
    <row r="74" ht="15.75" customHeight="1">
      <c r="A74" s="18"/>
    </row>
    <row r="75" ht="15.75" customHeight="1">
      <c r="A75" s="18"/>
    </row>
    <row r="76" ht="15.75" customHeight="1">
      <c r="A76" s="18"/>
    </row>
    <row r="77" ht="15.75" customHeight="1">
      <c r="A77" s="18"/>
    </row>
    <row r="78" ht="15.75" customHeight="1">
      <c r="A78" s="18"/>
    </row>
    <row r="79" ht="15.75" customHeight="1">
      <c r="A79" s="18"/>
    </row>
    <row r="80" ht="15.75" customHeight="1">
      <c r="A80" s="18"/>
    </row>
    <row r="81" ht="15.75" customHeight="1">
      <c r="A81" s="18"/>
    </row>
    <row r="82" ht="15.75" customHeight="1">
      <c r="A82" s="18"/>
    </row>
    <row r="83" ht="15.75" customHeight="1">
      <c r="A83" s="18"/>
    </row>
    <row r="84" ht="15.75" customHeight="1">
      <c r="A84" s="18"/>
    </row>
    <row r="85" ht="15.75" customHeight="1">
      <c r="A85" s="18"/>
    </row>
    <row r="86" ht="15.75" customHeight="1">
      <c r="A86" s="18"/>
    </row>
    <row r="87" ht="15.75" customHeight="1">
      <c r="A87" s="18"/>
    </row>
    <row r="88" ht="15.75" customHeight="1">
      <c r="A88" s="18"/>
    </row>
    <row r="89" ht="15.75" customHeight="1">
      <c r="A89" s="18"/>
    </row>
    <row r="90" ht="15.75" customHeight="1">
      <c r="A90" s="18"/>
    </row>
    <row r="91" ht="15.75" customHeight="1">
      <c r="A91" s="18"/>
    </row>
    <row r="92" ht="15.75" customHeight="1">
      <c r="A92" s="18"/>
    </row>
    <row r="93" ht="15.75" customHeight="1">
      <c r="A93" s="18"/>
    </row>
    <row r="94" ht="15.75" customHeight="1">
      <c r="A94" s="18"/>
    </row>
    <row r="95" ht="15.75" customHeight="1">
      <c r="A95" s="18"/>
    </row>
    <row r="96" ht="15.75" customHeight="1">
      <c r="A96" s="18"/>
    </row>
    <row r="97" ht="15.75" customHeight="1">
      <c r="A97" s="18"/>
    </row>
    <row r="98" ht="15.75" customHeight="1">
      <c r="A98" s="18"/>
    </row>
    <row r="99" ht="15.75" customHeight="1">
      <c r="A99" s="18"/>
    </row>
    <row r="100" ht="15.75" customHeight="1">
      <c r="A100" s="18"/>
    </row>
    <row r="101" ht="15.75" customHeight="1">
      <c r="A101" s="18"/>
    </row>
    <row r="102" ht="15.75" customHeight="1">
      <c r="A102" s="18"/>
    </row>
    <row r="103" ht="15.75" customHeight="1">
      <c r="A103" s="18"/>
    </row>
    <row r="104" ht="15.75" customHeight="1">
      <c r="A104" s="18"/>
    </row>
    <row r="105" ht="15.75" customHeight="1">
      <c r="A105" s="18"/>
    </row>
    <row r="106" ht="15.75" customHeight="1">
      <c r="A106" s="18"/>
    </row>
    <row r="107" ht="15.75" customHeight="1">
      <c r="A107" s="18"/>
    </row>
    <row r="108" ht="15.75" customHeight="1">
      <c r="A108" s="18"/>
    </row>
    <row r="109" ht="15.75" customHeight="1">
      <c r="A109" s="18"/>
    </row>
    <row r="110" ht="15.75" customHeight="1">
      <c r="A110" s="18"/>
    </row>
    <row r="111" ht="15.75" customHeight="1">
      <c r="A111" s="18"/>
    </row>
    <row r="112" ht="15.75" customHeight="1">
      <c r="A112" s="18"/>
    </row>
    <row r="113" ht="15.75" customHeight="1">
      <c r="A113" s="18"/>
    </row>
    <row r="114" ht="15.75" customHeight="1">
      <c r="A114" s="18"/>
    </row>
    <row r="115" ht="15.75" customHeight="1">
      <c r="A115" s="18"/>
    </row>
    <row r="116" ht="15.75" customHeight="1">
      <c r="A116" s="18"/>
    </row>
    <row r="117" ht="15.75" customHeight="1">
      <c r="A117" s="18"/>
    </row>
    <row r="118" ht="15.75" customHeight="1">
      <c r="A118" s="18"/>
    </row>
    <row r="119" ht="15.75" customHeight="1">
      <c r="A119" s="18"/>
    </row>
    <row r="120" ht="15.75" customHeight="1">
      <c r="A120" s="18"/>
    </row>
    <row r="121" ht="15.75" customHeight="1">
      <c r="A121" s="18"/>
    </row>
    <row r="122" ht="15.75" customHeight="1">
      <c r="A122" s="18"/>
    </row>
    <row r="123" ht="15.75" customHeight="1">
      <c r="A123" s="18"/>
    </row>
    <row r="124" ht="15.75" customHeight="1">
      <c r="A124" s="18"/>
    </row>
    <row r="125" ht="15.75" customHeight="1">
      <c r="A125" s="18"/>
    </row>
    <row r="126" ht="15.75" customHeight="1">
      <c r="A126" s="18"/>
    </row>
    <row r="127" ht="15.75" customHeight="1">
      <c r="A127" s="18"/>
    </row>
    <row r="128" ht="15.75" customHeight="1">
      <c r="A128" s="18"/>
    </row>
    <row r="129" ht="15.75" customHeight="1">
      <c r="A129" s="18"/>
    </row>
    <row r="130" ht="15.75" customHeight="1">
      <c r="A130" s="18"/>
    </row>
    <row r="131" ht="15.75" customHeight="1">
      <c r="A131" s="18"/>
    </row>
    <row r="132" ht="15.75" customHeight="1">
      <c r="A132" s="18"/>
    </row>
    <row r="133" ht="15.75" customHeight="1">
      <c r="A133" s="18"/>
    </row>
    <row r="134" ht="15.75" customHeight="1">
      <c r="A134" s="18"/>
    </row>
    <row r="135" ht="15.75" customHeight="1">
      <c r="A135" s="18"/>
    </row>
    <row r="136" ht="15.75" customHeight="1">
      <c r="A136" s="18"/>
    </row>
    <row r="137" ht="15.75" customHeight="1">
      <c r="A137" s="18"/>
    </row>
    <row r="138" ht="15.75" customHeight="1">
      <c r="A138" s="18"/>
    </row>
    <row r="139" ht="15.75" customHeight="1">
      <c r="A139" s="18"/>
    </row>
    <row r="140" ht="15.75" customHeight="1">
      <c r="A140" s="18"/>
    </row>
    <row r="141" ht="15.75" customHeight="1">
      <c r="A141" s="18"/>
    </row>
    <row r="142" ht="15.75" customHeight="1">
      <c r="A142" s="18"/>
    </row>
    <row r="143" ht="15.75" customHeight="1">
      <c r="A143" s="18"/>
    </row>
    <row r="144" ht="15.75" customHeight="1">
      <c r="A144" s="18"/>
    </row>
    <row r="145" ht="15.75" customHeight="1">
      <c r="A145" s="18"/>
    </row>
    <row r="146" ht="15.75" customHeight="1">
      <c r="A146" s="18"/>
    </row>
    <row r="147" ht="15.75" customHeight="1">
      <c r="A147" s="18"/>
    </row>
    <row r="148" ht="15.75" customHeight="1">
      <c r="A148" s="18"/>
    </row>
    <row r="149" ht="15.75" customHeight="1">
      <c r="A149" s="18"/>
    </row>
    <row r="150" ht="15.75" customHeight="1">
      <c r="A150" s="18"/>
    </row>
    <row r="151" ht="15.75" customHeight="1">
      <c r="A151" s="18"/>
    </row>
    <row r="152" ht="15.75" customHeight="1">
      <c r="A152" s="18"/>
    </row>
    <row r="153" ht="15.75" customHeight="1">
      <c r="A153" s="18"/>
    </row>
    <row r="154" ht="15.75" customHeight="1">
      <c r="A154" s="18"/>
    </row>
    <row r="155" ht="15.75" customHeight="1">
      <c r="A155" s="18"/>
    </row>
    <row r="156" ht="15.75" customHeight="1">
      <c r="A156" s="18"/>
    </row>
    <row r="157" ht="15.75" customHeight="1">
      <c r="A157" s="18"/>
    </row>
    <row r="158" ht="15.75" customHeight="1">
      <c r="A158" s="18"/>
    </row>
    <row r="159" ht="15.75" customHeight="1">
      <c r="A159" s="18"/>
    </row>
    <row r="160" ht="15.75" customHeight="1">
      <c r="A160" s="18"/>
    </row>
    <row r="161" ht="15.75" customHeight="1">
      <c r="A161" s="18"/>
    </row>
    <row r="162" ht="15.75" customHeight="1">
      <c r="A162" s="18"/>
    </row>
    <row r="163" ht="15.75" customHeight="1">
      <c r="A163" s="18"/>
    </row>
    <row r="164" ht="15.75" customHeight="1">
      <c r="A164" s="18"/>
    </row>
    <row r="165" ht="15.75" customHeight="1">
      <c r="A165" s="18"/>
    </row>
    <row r="166" ht="15.75" customHeight="1">
      <c r="A166" s="18"/>
    </row>
    <row r="167" ht="15.75" customHeight="1">
      <c r="A167" s="18"/>
    </row>
    <row r="168" ht="15.75" customHeight="1">
      <c r="A168" s="18"/>
    </row>
    <row r="169" ht="15.75" customHeight="1">
      <c r="A169" s="18"/>
    </row>
    <row r="170" ht="15.75" customHeight="1">
      <c r="A170" s="18"/>
    </row>
    <row r="171" ht="15.75" customHeight="1">
      <c r="A171" s="18"/>
    </row>
    <row r="172" ht="15.75" customHeight="1">
      <c r="A172" s="18"/>
    </row>
    <row r="173" ht="15.75" customHeight="1">
      <c r="A173" s="18"/>
    </row>
    <row r="174" ht="15.75" customHeight="1">
      <c r="A174" s="18"/>
    </row>
    <row r="175" ht="15.75" customHeight="1">
      <c r="A175" s="18"/>
    </row>
    <row r="176" ht="15.75" customHeight="1">
      <c r="A176" s="18"/>
    </row>
    <row r="177" ht="15.75" customHeight="1">
      <c r="A177" s="18"/>
    </row>
    <row r="178" ht="15.75" customHeight="1">
      <c r="A178" s="18"/>
    </row>
    <row r="179" ht="15.75" customHeight="1">
      <c r="A179" s="18"/>
    </row>
    <row r="180" ht="15.75" customHeight="1">
      <c r="A180" s="18"/>
    </row>
    <row r="181" ht="15.75" customHeight="1">
      <c r="A181" s="18"/>
    </row>
    <row r="182" ht="15.75" customHeight="1">
      <c r="A182" s="18"/>
    </row>
    <row r="183" ht="15.75" customHeight="1">
      <c r="A183" s="18"/>
    </row>
    <row r="184" ht="15.75" customHeight="1">
      <c r="A184" s="18"/>
    </row>
    <row r="185" ht="15.75" customHeight="1">
      <c r="A185" s="18"/>
    </row>
    <row r="186" ht="15.75" customHeight="1">
      <c r="A186" s="18"/>
    </row>
    <row r="187" ht="15.75" customHeight="1">
      <c r="A187" s="18"/>
    </row>
    <row r="188" ht="15.75" customHeight="1">
      <c r="A188" s="18"/>
    </row>
    <row r="189" ht="15.75" customHeight="1">
      <c r="A189" s="18"/>
    </row>
    <row r="190" ht="15.75" customHeight="1">
      <c r="A190" s="18"/>
    </row>
    <row r="191" ht="15.75" customHeight="1">
      <c r="A191" s="18"/>
    </row>
    <row r="192" ht="15.75" customHeight="1">
      <c r="A192" s="18"/>
    </row>
    <row r="193" ht="15.75" customHeight="1">
      <c r="A193" s="18"/>
    </row>
    <row r="194" ht="15.75" customHeight="1">
      <c r="A194" s="18"/>
    </row>
    <row r="195" ht="15.75" customHeight="1">
      <c r="A195" s="18"/>
    </row>
    <row r="196" ht="15.75" customHeight="1">
      <c r="A196" s="18"/>
    </row>
    <row r="197" ht="15.75" customHeight="1">
      <c r="A197" s="18"/>
    </row>
    <row r="198" ht="15.75" customHeight="1">
      <c r="A198" s="18"/>
    </row>
    <row r="199" ht="15.75" customHeight="1">
      <c r="A199" s="18"/>
    </row>
    <row r="200" ht="15.75" customHeight="1">
      <c r="A200" s="18"/>
    </row>
    <row r="201" ht="15.75" customHeight="1">
      <c r="A201" s="18"/>
    </row>
    <row r="202" ht="15.75" customHeight="1">
      <c r="A202" s="18"/>
    </row>
    <row r="203" ht="15.75" customHeight="1">
      <c r="A203" s="18"/>
    </row>
    <row r="204" ht="15.75" customHeight="1">
      <c r="A204" s="18"/>
    </row>
    <row r="205" ht="15.75" customHeight="1">
      <c r="A205" s="18"/>
    </row>
    <row r="206" ht="15.75" customHeight="1">
      <c r="A206" s="18"/>
    </row>
    <row r="207" ht="15.75" customHeight="1">
      <c r="A207" s="18"/>
    </row>
    <row r="208" ht="15.75" customHeight="1">
      <c r="A208" s="18"/>
    </row>
    <row r="209" ht="15.75" customHeight="1">
      <c r="A209" s="18"/>
    </row>
    <row r="210" ht="15.75" customHeight="1">
      <c r="A210" s="18"/>
    </row>
    <row r="211" ht="15.75" customHeight="1">
      <c r="A211" s="18"/>
    </row>
    <row r="212" ht="15.75" customHeight="1">
      <c r="A212" s="18"/>
    </row>
    <row r="213" ht="15.75" customHeight="1">
      <c r="A213" s="18"/>
    </row>
    <row r="214" ht="15.75" customHeight="1">
      <c r="A214" s="18"/>
    </row>
    <row r="215" ht="15.75" customHeight="1">
      <c r="A215" s="18"/>
    </row>
    <row r="216" ht="15.75" customHeight="1">
      <c r="A216" s="18"/>
    </row>
    <row r="217" ht="15.75" customHeight="1">
      <c r="A217" s="18"/>
    </row>
    <row r="218" ht="15.75" customHeight="1">
      <c r="A218" s="18"/>
    </row>
    <row r="219" ht="15.75" customHeight="1">
      <c r="A219" s="18"/>
    </row>
    <row r="220" ht="15.75" customHeight="1">
      <c r="A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IFERROR(__xludf.DUMMYFUNCTION("""COMPUTED_VALUE"""),"Especifica")</f>
        <v>Especifica</v>
      </c>
      <c r="J1" s="5" t="str">
        <f>IFERROR(__xludf.DUMMYFUNCTION("""COMPUTED_VALUE"""),"Reconoce")</f>
        <v>Reconoce</v>
      </c>
      <c r="K1" s="5" t="str">
        <f>IFERROR(__xludf.DUMMYFUNCTION("""COMPUTED_VALUE"""),"los distintos tipos de bloqueos mentales")</f>
        <v>los distintos tipos de bloqueos mentales</v>
      </c>
      <c r="L1" s="5"/>
      <c r="M1" s="5" t="str">
        <f>IFERROR(__xludf.DUMMYFUNCTION("""COMPUTED_VALUE"""),"mediante la identificación de ejemplos")</f>
        <v>mediante la identificación de ejemplos</v>
      </c>
      <c r="N1" s="5" t="str">
        <f>IFERROR(__xludf.DUMMYFUNCTION("""COMPUTED_VALUE"""),"en experiencias cotidianas que dificultan la resolución de problemas")</f>
        <v>en experiencias cotidianas que dificultan la resolución de problemas</v>
      </c>
      <c r="O1" s="5"/>
      <c r="P1" s="5" t="str">
        <f>IFERROR(__xludf.DUMMYFUNCTION("""COMPUTED_VALUE"""),"Reconocer")</f>
        <v>Reconocer</v>
      </c>
    </row>
    <row r="2" ht="15.75" customHeight="1">
      <c r="A2" s="5" t="str">
        <f>IFERROR(__xludf.DUMMYFUNCTION("""COMPUTED_VALUE"""),"17 - Área Social Humanística 1")</f>
        <v>17 - Área Social Humanística 1</v>
      </c>
      <c r="B2" s="5"/>
      <c r="C2" s="5"/>
      <c r="D2" s="5"/>
      <c r="E2" s="5"/>
      <c r="H2" s="5"/>
      <c r="I2" s="5" t="str">
        <f>IFERROR(__xludf.DUMMYFUNCTION("""COMPUTED_VALUE"""),"Reconoce los distintos tipos de bloqueos mentales mediante la identificación de ejemplos en experiencias cotidianas que dificultan la resolución de problemas ")</f>
        <v>Reconoce los distintos tipos de bloqueos mentales mediante la identificación de ejemplos en experiencias cotidianas que dificultan la resolución de problemas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IFERROR(__xludf.DUMMYFUNCTION("""COMPUTED_VALUE"""),"Comprende")</f>
        <v>Comprende</v>
      </c>
      <c r="K3" s="5" t="str">
        <f>IFERROR(__xludf.DUMMYFUNCTION("""COMPUTED_VALUE"""),"las diferencias entre lógica formal, matemática y sistémica")</f>
        <v>las diferencias entre lógica formal, matemática y sistémica</v>
      </c>
      <c r="L3" s="5"/>
      <c r="M3" s="5" t="str">
        <f>IFERROR(__xludf.DUMMYFUNCTION("""COMPUTED_VALUE"""),"a través del análisis comparativo")</f>
        <v>a través del análisis comparativo</v>
      </c>
      <c r="N3" s="5" t="str">
        <f>IFERROR(__xludf.DUMMYFUNCTION("""COMPUTED_VALUE"""),"
en ejercicios y situaciones académicas")</f>
        <v>
en ejercicios y situaciones académicas</v>
      </c>
      <c r="O3" s="5"/>
      <c r="P3" s="5" t="str">
        <f>IFERROR(__xludf.DUMMYFUNCTION("""COMPUTED_VALUE"""),"Comprender")</f>
        <v>Comprender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IFERROR(__xludf.DUMMYFUNCTION("""COMPUTED_VALUE"""),"Comprende las diferencias entre lógica formal, matemática y sistémica a través del análisis comparativo 
en ejercicios y situaciones académicas ")</f>
        <v>Comprende las diferencias entre lógica formal, matemática y sistémica a través del análisis comparativo 
en ejercicios y situaciones académicas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IFERROR(__xludf.DUMMYFUNCTION("""COMPUTED_VALUE"""),"Aplica")</f>
        <v>Aplica</v>
      </c>
      <c r="K5" s="5" t="str">
        <f>IFERROR(__xludf.DUMMYFUNCTION("""COMPUTED_VALUE"""),"la construcción de árboles lógicos y tríadas conceptuales")</f>
        <v>la construcción de árboles lógicos y tríadas conceptuales</v>
      </c>
      <c r="L5" s="5"/>
      <c r="M5" s="5" t="str">
        <f>IFERROR(__xludf.DUMMYFUNCTION("""COMPUTED_VALUE"""),"para representar gráficamente")</f>
        <v>para representar gráficamente</v>
      </c>
      <c r="N5" s="5" t="str">
        <f>IFERROR(__xludf.DUMMYFUNCTION("""COMPUTED_VALUE"""),"las estructuras de pensamiento trabajadas en el curso")</f>
        <v>las estructuras de pensamiento trabajadas en el curso</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IFERROR(__xludf.DUMMYFUNCTION("""COMPUTED_VALUE"""),"Aplica la construcción de árboles lógicos y tríadas conceptuales para representar gráficamente las estructuras de pensamiento trabajadas en el curso ")</f>
        <v>Aplica la construcción de árboles lógicos y tríadas conceptuales para representar gráficamente las estructuras de pensamiento trabajadas en el curso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IFERROR(__xludf.DUMMYFUNCTION("""COMPUTED_VALUE"""),"Analiza")</f>
        <v>Analiza</v>
      </c>
      <c r="K7" s="5" t="str">
        <f>IFERROR(__xludf.DUMMYFUNCTION("""COMPUTED_VALUE"""),"proposiciones y razonamientos en el lenguaje")</f>
        <v>proposiciones y razonamientos en el lenguaje</v>
      </c>
      <c r="L7" s="5"/>
      <c r="M7" s="5" t="str">
        <f>IFERROR(__xludf.DUMMYFUNCTION("""COMPUTED_VALUE"""),"identificando premisas, conclusiones y sus relaciones lógicas")</f>
        <v>identificando premisas, conclusiones y sus relaciones lógicas</v>
      </c>
      <c r="N7" s="5" t="str">
        <f>IFERROR(__xludf.DUMMYFUNCTION("""COMPUTED_VALUE"""),"dentro de textos y enunciados")</f>
        <v>dentro de textos y enunciados</v>
      </c>
      <c r="O7" s="5"/>
      <c r="P7" s="5" t="str">
        <f>IFERROR(__xludf.DUMMYFUNCTION("""COMPUTED_VALUE"""),"Analizar")</f>
        <v>Analizar</v>
      </c>
    </row>
    <row r="8" ht="15.75" customHeight="1">
      <c r="A8" s="5" t="str">
        <f>IFERROR(__xludf.DUMMYFUNCTION("""COMPUTED_VALUE"""),"103 - Área Matemática Básica 2")</f>
        <v>103 - Área Matemática Básica 2</v>
      </c>
      <c r="B8" s="5"/>
      <c r="C8" s="5"/>
      <c r="D8" s="5"/>
      <c r="E8" s="5"/>
      <c r="H8" s="5"/>
      <c r="I8" s="5" t="str">
        <f>IFERROR(__xludf.DUMMYFUNCTION("""COMPUTED_VALUE"""),"Analiza proposiciones y razonamientos en el lenguaje identificando premisas, conclusiones y sus relaciones lógicas dentro de textos y enunciados ")</f>
        <v>Analiza proposiciones y razonamientos en el lenguaje identificando premisas, conclusiones y sus relaciones lógicas dentro de textos y enunciados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IFERROR(__xludf.DUMMYFUNCTION("""COMPUTED_VALUE"""),"Evalúa")</f>
        <v>Evalúa</v>
      </c>
      <c r="K9" s="5" t="str">
        <f>IFERROR(__xludf.DUMMYFUNCTION("""COMPUTED_VALUE"""),"la validez de razonamientos y falacias")</f>
        <v>la validez de razonamientos y falacias</v>
      </c>
      <c r="L9" s="5"/>
      <c r="M9" s="5" t="str">
        <f>IFERROR(__xludf.DUMMYFUNCTION("""COMPUTED_VALUE"""),"empleando discusiones guiadas y la resolución de dilemas")</f>
        <v>empleando discusiones guiadas y la resolución de dilemas</v>
      </c>
      <c r="N9" s="5" t="str">
        <f>IFERROR(__xludf.DUMMYFUNCTION("""COMPUTED_VALUE"""),"en contextos académicos del curso")</f>
        <v>en contextos académicos del curso</v>
      </c>
      <c r="O9" s="5"/>
      <c r="P9" s="5" t="str">
        <f>IFERROR(__xludf.DUMMYFUNCTION("""COMPUTED_VALUE"""),"Evaluar")</f>
        <v>Evaluar</v>
      </c>
    </row>
    <row r="10" ht="15.75" customHeight="1">
      <c r="A10" s="5" t="str">
        <f>IFERROR(__xludf.DUMMYFUNCTION("""COMPUTED_VALUE"""),"147 - Física Básica")</f>
        <v>147 - Física Básica</v>
      </c>
      <c r="B10" s="5"/>
      <c r="C10" s="5"/>
      <c r="D10" s="5"/>
      <c r="E10" s="5"/>
      <c r="H10" s="5"/>
      <c r="I10" s="5" t="str">
        <f>IFERROR(__xludf.DUMMYFUNCTION("""COMPUTED_VALUE"""),"Evalúa la validez de razonamientos y falacias empleando discusiones guiadas y la resolución de dilemas en contextos académicos del curso ")</f>
        <v>Evalúa la validez de razonamientos y falacias empleando discusiones guiadas y la resolución de dilemas en contextos académicos del curso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IFERROR(__xludf.DUMMYFUNCTION("""COMPUTED_VALUE"""),"Integra")</f>
        <v>Integra</v>
      </c>
      <c r="K11" s="5" t="str">
        <f>IFERROR(__xludf.DUMMYFUNCTION("""COMPUTED_VALUE"""),"modelos mentales y paradigmas")</f>
        <v>modelos mentales y paradigmas</v>
      </c>
      <c r="L11" s="5"/>
      <c r="M11" s="5" t="str">
        <f>IFERROR(__xludf.DUMMYFUNCTION("""COMPUTED_VALUE"""),"en el análisis de ejemplos prácticos")</f>
        <v>en el análisis de ejemplos prácticos</v>
      </c>
      <c r="N11" s="5" t="str">
        <f>IFERROR(__xludf.DUMMYFUNCTION("""COMPUTED_VALUE"""),"para reflexionar sobre su impacto en la toma de decisiones")</f>
        <v>para reflexionar sobre su impacto en la toma de decisiones</v>
      </c>
      <c r="O11" s="5"/>
      <c r="P11" s="5" t="str">
        <f>IFERROR(__xludf.DUMMYFUNCTION("""COMPUTED_VALUE"""),"Crear")</f>
        <v>Crear</v>
      </c>
    </row>
    <row r="12" ht="15.75" customHeight="1">
      <c r="A12" s="5" t="str">
        <f>IFERROR(__xludf.DUMMYFUNCTION("""COMPUTED_VALUE"""),"8 - Idioma Técnico 2")</f>
        <v>8 - Idioma Técnico 2</v>
      </c>
      <c r="B12" s="5"/>
      <c r="C12" s="5"/>
      <c r="D12" s="5"/>
      <c r="E12" s="5"/>
      <c r="H12" s="5"/>
      <c r="I12" s="5" t="str">
        <f>IFERROR(__xludf.DUMMYFUNCTION("""COMPUTED_VALUE"""),"Integra modelos mentales y paradigmas en el análisis de ejemplos prácticos para reflexionar sobre su impacto en la toma de decisiones ")</f>
        <v>Integra modelos mentales y paradigmas en el análisis de ejemplos prácticos para reflexionar sobre su impacto en la toma de decisiones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IFERROR(__xludf.DUMMYFUNCTION("""COMPUTED_VALUE"""),"Diseña")</f>
        <v>Diseña</v>
      </c>
      <c r="K13" s="5" t="str">
        <f>IFERROR(__xludf.DUMMYFUNCTION("""COMPUTED_VALUE"""),"representaciones lógicas innovadoras")</f>
        <v>representaciones lógicas innovadoras</v>
      </c>
      <c r="L13" s="5"/>
      <c r="M13" s="5" t="str">
        <f>IFERROR(__xludf.DUMMYFUNCTION("""COMPUTED_VALUE"""),"combinando conceptos, proposiciones y razonamientos")</f>
        <v>combinando conceptos, proposiciones y razonamientos</v>
      </c>
      <c r="N13" s="5" t="str">
        <f>IFERROR(__xludf.DUMMYFUNCTION("""COMPUTED_VALUE"""),"que fortalezcan el pensamiento crítico y el razonamiento válido")</f>
        <v>que fortalezcan el pensamiento crítico y el razonamiento válido</v>
      </c>
      <c r="O13" s="5"/>
      <c r="P13" s="5" t="str">
        <f>IFERROR(__xludf.DUMMYFUNCTION("""COMPUTED_VALUE"""),"Crear")</f>
        <v>Crear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IFERROR(__xludf.DUMMYFUNCTION("""COMPUTED_VALUE"""),"Diseña representaciones lógicas innovadoras combinando conceptos, proposiciones y razonamientos que fortalezcan el pensamiento crítico y el razonamiento válido ")</f>
        <v>Diseña representaciones lógicas innovadoras combinando conceptos, proposiciones y razonamientos que fortalezcan el pensamiento crítico y el razonamiento válido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Reconoce los distintos tipos de bloqueos mentales mediante la identificación de ejemplos en experiencias cotidianas que dificultan la resolución de problemas </v>
      </c>
    </row>
    <row r="18" ht="15.75" customHeight="1">
      <c r="A18" s="5" t="str">
        <f>IFERROR(__xludf.DUMMYFUNCTION("""COMPUTED_VALUE"""),"1 - Ética Profesional")</f>
        <v>1 - Ética Profesional</v>
      </c>
      <c r="B18" s="5"/>
      <c r="C18" s="5"/>
      <c r="D18" s="5"/>
      <c r="E18" s="5"/>
      <c r="I18" s="5" t="str">
        <f>I4</f>
        <v>Comprende las diferencias entre lógica formal, matemática y sistémica a través del análisis comparativo 
en ejercicios y situaciones académicas </v>
      </c>
    </row>
    <row r="19" ht="15.75" customHeight="1">
      <c r="A19" s="5" t="str">
        <f>IFERROR(__xludf.DUMMYFUNCTION("""COMPUTED_VALUE"""),"9 - Idioma Técnico 3")</f>
        <v>9 - Idioma Técnico 3</v>
      </c>
      <c r="B19" s="5"/>
      <c r="C19" s="5"/>
      <c r="D19" s="5"/>
      <c r="E19" s="5"/>
      <c r="I19" s="5" t="str">
        <f>I6</f>
        <v>Aplica la construcción de árboles lógicos y tríadas conceptuales para representar gráficamente las estructuras de pensamiento trabajadas en el curso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Analiza proposiciones y razonamientos en el lenguaje identificando premisas, conclusiones y sus relaciones lógicas dentro de textos y enunciados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Evalúa la validez de razonamientos y falacias empleando discusiones guiadas y la resolución de dilemas en contextos académicos del curso </v>
      </c>
    </row>
    <row r="22" ht="15.75" customHeight="1">
      <c r="A22" s="5" t="str">
        <f>IFERROR(__xludf.DUMMYFUNCTION("""COMPUTED_VALUE"""),"112 - Área Matemática Intermedia 2")</f>
        <v>112 - Área Matemática Intermedia 2</v>
      </c>
      <c r="B22" s="5"/>
      <c r="C22" s="5"/>
      <c r="D22" s="5"/>
      <c r="E22" s="5"/>
      <c r="I22" s="5" t="str">
        <f>I12</f>
        <v>Integra modelos mentales y paradigmas en el análisis de ejemplos prácticos para reflexionar sobre su impacto en la toma de decisiones </v>
      </c>
    </row>
    <row r="23" ht="15.75" customHeight="1">
      <c r="A23" s="5" t="str">
        <f>IFERROR(__xludf.DUMMYFUNCTION("""COMPUTED_VALUE"""),"114 - Área Matemática Intermedia 3")</f>
        <v>114 - Área Matemática Intermedia 3</v>
      </c>
      <c r="B23" s="5"/>
      <c r="C23" s="5"/>
      <c r="D23" s="5"/>
      <c r="E23" s="5"/>
      <c r="I23" s="5" t="str">
        <f>I14</f>
        <v>Diseña representaciones lógicas innovadoras combinando conceptos, proposiciones y razonamientos que fortalezcan el pensamiento crítico y el razonamiento válido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