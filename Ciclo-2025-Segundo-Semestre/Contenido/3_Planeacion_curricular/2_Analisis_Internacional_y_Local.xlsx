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Diseño_Lab_Post" sheetId="4" r:id="rId8"/>
    <sheet state="visible" name="TCO_Lab_Previo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<sst xmlns="http://schemas.openxmlformats.org/spreadsheetml/2006/main" count="345" uniqueCount="114">
  <si>
    <t>Identificación de referentes internacionales</t>
  </si>
  <si>
    <t>Comparación con referentes internacionales</t>
  </si>
  <si>
    <t>Que se impartio el en Curso Posterior el Segundo Semestre 2025</t>
  </si>
  <si>
    <t>Competencias actuales del laboratorio</t>
  </si>
  <si>
    <t>Nombre del Curso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</si>
  <si>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</si>
  <si>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</si>
  <si>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</si>
  <si>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</si>
  <si>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Brown University</t>
  </si>
  <si>
    <t>Código del Curso</t>
  </si>
  <si>
    <t>Laboratorio Actual</t>
  </si>
  <si>
    <t>Logica para sistemas</t>
  </si>
  <si>
    <t>Introducción a la Programación y Computación 2</t>
  </si>
  <si>
    <t>Fuente de Información</t>
  </si>
  <si>
    <t>https://cs.brown.edu/courses/</t>
  </si>
  <si>
    <t>Universidad Referente</t>
  </si>
  <si>
    <t>Estandar Referente</t>
  </si>
  <si>
    <t>795 - Logica de Sitemas</t>
  </si>
  <si>
    <t>Competencia</t>
  </si>
  <si>
    <t>Unidad</t>
  </si>
  <si>
    <t>Tema</t>
  </si>
  <si>
    <t>SubTema</t>
  </si>
  <si>
    <t>Presente en el referente (Sí/No)</t>
  </si>
  <si>
    <t>Semestre</t>
  </si>
  <si>
    <t>No</t>
  </si>
  <si>
    <t>Área de Conocimiento</t>
  </si>
  <si>
    <t>Sí</t>
  </si>
  <si>
    <t>Cantidad de Creditos</t>
  </si>
  <si>
    <t>Subtema</t>
  </si>
  <si>
    <t>Horas de aprendizaje</t>
  </si>
  <si>
    <t>Mes</t>
  </si>
  <si>
    <t>Semana</t>
  </si>
  <si>
    <t>Temas relacionados al laboratorio que se imparte</t>
  </si>
  <si>
    <t>Descripción del Contexto</t>
  </si>
  <si>
    <t>Modelado con lógica -&gt; Unidad 3 y 4                                                                                                             Especificación y razonamiento sobre sistemas  -&gt; Unidad 4 y 5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</si>
  <si>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</si>
  <si>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</si>
  <si>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</si>
  <si>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</si>
  <si>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</si>
  <si>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</si>
  <si>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Herramientas utilizadas relacionados al laboratorio que se imparte</t>
  </si>
  <si>
    <t>Arboles logicos</t>
  </si>
  <si>
    <t>Competencia(s) relacionada(s) al laboratorio que se imparte</t>
  </si>
  <si>
    <t xml:space="preserve">- Comprende las diferencias entre lógica formal, matemática y sistémica a través del análisis comparativo en ejercicios y situaciones académicas   
- Analiza proposiciones y razonamientos en el lenguaje identificando premisas, conclusiones y sus relaciones lógicas dentro de textos y enunciados 							
					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</si>
  <si>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</si>
  <si>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</si>
  <si>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</si>
  <si>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</t>
  </si>
  <si>
    <t>Sección , Capitulo , etc,</t>
  </si>
  <si>
    <t>General Criterion 3: Student Outcomes (apartados 1–6)</t>
  </si>
  <si>
    <t>Funte de Información</t>
  </si>
  <si>
    <t>https://www.abet.org/wp-content/uploads/2023/05/C001_CAC-Criteria_2023-2024.pdf</t>
  </si>
  <si>
    <t>Contenidos relacionados al laboratorio que se imparte</t>
  </si>
  <si>
    <t>- Lógica proposicional, tablas de verdad, razonamiento válido 
- Creatividad y paradigmas como habilidades transversales</t>
  </si>
  <si>
    <t>ACM/IEEE Computer Science Curricula 2013</t>
  </si>
  <si>
    <t xml:space="preserve">- Discrete Structures (DS) – DS1: Logic and Proofs
- Discrete Structures (DS) – DS2: Boolean Algebra, Propositional Logic
- Software Engineering (SE) – Modeling and Verification
- Professional Practice (SP) – Problem Solving, Critical Thinking </t>
  </si>
  <si>
    <t>https://www.acm.org/education/curricula-recommendations</t>
  </si>
  <si>
    <t>- Lógica proposicional, tablas de verdad, razonamiento válido
- Desarrollo de pensamiento crítico y creativo</t>
  </si>
  <si>
    <t>Competencias Actuales</t>
  </si>
  <si>
    <t>Tipo</t>
  </si>
  <si>
    <t>Nivel de la Taxonomina</t>
  </si>
  <si>
    <t>Que se impartio el en Curso Previo el Segundo Semestre 2025</t>
  </si>
  <si>
    <t>Área Matemática Básica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</si>
  <si>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</si>
  <si>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</si>
  <si>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</si>
  <si>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</si>
  <si>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</si>
  <si>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</si>
  <si>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Actualiza permanente sus conocimientos relacionados con TIC en general,
 apoyándose en las estrategias de aprendizaje apropiadas.</t>
  </si>
  <si>
    <t>Aplica los conocimientos de su disciplina en la elaboración, fundamentación
 y defensa de argumentos para prevenir y resolver problemas complejos en
 su campo profesional, identificando y aplicando innovaciones.</t>
  </si>
  <si>
    <t>Construye soluciones integrales trabajando en forma colaborativa y
 propositiva en equipos interdisciplinarios, en forma presencial o utilizando
 plataformas virtuales.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</si>
  <si>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</si>
  <si>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</si>
  <si>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</si>
  <si>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</si>
  <si>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</si>
  <si>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</si>
  <si>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Reconoce</t>
  </si>
  <si>
    <t>los distintos tipos de bloqueos mentales</t>
  </si>
  <si>
    <t>mediante la identificación de ejemplos</t>
  </si>
  <si>
    <t>en experiencias cotidianas que dificultan la resolución de problemas</t>
  </si>
  <si>
    <t>Reconocer</t>
  </si>
  <si>
    <t>Comprende</t>
  </si>
  <si>
    <t>las diferencias entre lógica formal, matemática y sistémica</t>
  </si>
  <si>
    <t>a través del análisis comparativo</t>
  </si>
  <si>
    <t xml:space="preserve">
en ejercicios y situaciones académicas</t>
  </si>
  <si>
    <t>Comprender</t>
  </si>
  <si>
    <t>Aplica</t>
  </si>
  <si>
    <t>la construcción de árboles lógicos y tríadas conceptuales</t>
  </si>
  <si>
    <t>para representar gráficamente</t>
  </si>
  <si>
    <t>las estructuras de pensamiento trabajadas en el curso</t>
  </si>
  <si>
    <t>Aplicar</t>
  </si>
  <si>
    <t>Analiza</t>
  </si>
  <si>
    <t>proposiciones y razonamientos en el lenguaje</t>
  </si>
  <si>
    <t>identificando premisas, conclusiones y sus relaciones lógicas</t>
  </si>
  <si>
    <t>dentro de textos y enunciados</t>
  </si>
  <si>
    <t>Analizar</t>
  </si>
  <si>
    <t>Evalúa</t>
  </si>
  <si>
    <t>la validez de razonamientos y falacias</t>
  </si>
  <si>
    <t>empleando discusiones guiadas y la resolución de dilemas</t>
  </si>
  <si>
    <t>en contextos académicos del curso</t>
  </si>
  <si>
    <t>Evaluar</t>
  </si>
  <si>
    <t>Integra</t>
  </si>
  <si>
    <t>modelos mentales y paradigmas</t>
  </si>
  <si>
    <t>en el análisis de ejemplos prácticos</t>
  </si>
  <si>
    <t>para reflexionar sobre su impacto en la toma de decisiones</t>
  </si>
  <si>
    <t>Crear</t>
  </si>
  <si>
    <t>Diseña</t>
  </si>
  <si>
    <t>representaciones lógicas innovadoras</t>
  </si>
  <si>
    <t>combinando conceptos, proposiciones y razonamientos</t>
  </si>
  <si>
    <t>que fortalezcan el pensamiento crítico y el razonamiento válido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</si>
</sst>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sz val="12.0"/>
      <color rgb="FF404040"/>
      <name val="Roboto"/>
    </font>
    <font>
      <b/>
      <sz val="12.0"/>
      <color theme="4"/>
      <name val="Arial"/>
    </font>
    <font>
      <color rgb="FF999999"/>
      <name val="Arial"/>
    </font>
    <font>
      <sz val="12.0"/>
      <color theme="1"/>
      <name val="Arial"/>
    </font>
    <font>
      <sz val="53.0"/>
      <color theme="1"/>
      <name val="Arial"/>
    </font>
    <font>
      <b/>
      <sz val="12.0"/>
      <color theme="1"/>
      <name val="Roboto"/>
    </font>
    <font>
      <u/>
      <color rgb="FF0000FF"/>
      <name val="Arial"/>
    </font>
    <font>
      <b/>
      <color theme="1"/>
      <name val="Arial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3" fontId="4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1" numFmtId="0" xfId="0" applyFont="1"/>
    <xf borderId="2" fillId="0" fontId="6" numFmtId="0" xfId="0" applyBorder="1" applyFont="1"/>
    <xf borderId="0" fillId="0" fontId="6" numFmtId="0" xfId="0" applyAlignment="1" applyFont="1">
      <alignment shrinkToFit="0" wrapText="1"/>
    </xf>
    <xf borderId="3" fillId="0" fontId="7" numFmtId="0" xfId="0" applyBorder="1" applyFont="1"/>
    <xf borderId="0" fillId="2" fontId="6" numFmtId="0" xfId="0" applyAlignment="1" applyFill="1" applyFont="1">
      <alignment vertical="bottom"/>
    </xf>
    <xf borderId="4" fillId="0" fontId="7" numFmtId="0" xfId="0" applyBorder="1" applyFont="1"/>
    <xf borderId="2" fillId="4" fontId="8" numFmtId="0" xfId="0" applyAlignment="1" applyBorder="1" applyFill="1" applyFont="1">
      <alignment vertical="bottom"/>
    </xf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shrinkToFit="0" wrapText="1"/>
    </xf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6" numFmtId="0" xfId="0" applyFont="1"/>
    <xf borderId="2" fillId="2" fontId="11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shrinkToFit="0" wrapText="1"/>
    </xf>
    <xf borderId="0" fillId="0" fontId="12" numFmtId="0" xfId="0" applyAlignment="1" applyFont="1">
      <alignment horizontal="center"/>
    </xf>
    <xf borderId="1" fillId="5" fontId="6" numFmtId="0" xfId="0" applyAlignment="1" applyBorder="1" applyFill="1" applyFont="1">
      <alignment readingOrder="0" shrinkToFit="0" wrapText="1"/>
    </xf>
    <xf borderId="2" fillId="3" fontId="6" numFmtId="0" xfId="0" applyAlignment="1" applyBorder="1" applyFill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2" fillId="5" fontId="5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shrinkToFit="0" wrapText="1"/>
    </xf>
    <xf borderId="2" fillId="0" fontId="11" numFmtId="0" xfId="0" applyAlignment="1" applyBorder="1" applyFont="1">
      <alignment horizontal="center" vertical="bottom"/>
    </xf>
    <xf borderId="0" fillId="2" fontId="6" numFmtId="0" xfId="0" applyAlignment="1" applyFill="1" applyFont="1">
      <alignment shrinkToFit="0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vertical="bottom"/>
    </xf>
    <xf borderId="2" fillId="4" fontId="13" numFmtId="0" xfId="0" applyAlignment="1" applyBorder="1" applyFill="1" applyFont="1">
      <alignment vertical="bottom"/>
    </xf>
    <xf borderId="0" fillId="0" fontId="1" numFmtId="0" xfId="0" applyAlignment="1" applyFont="1">
      <alignment shrinkToFit="0" wrapText="0"/>
    </xf>
    <xf borderId="1" fillId="6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 shrinkToFit="0" wrapText="1"/>
    </xf>
    <xf borderId="2" fillId="0" fontId="14" numFmtId="0" xfId="0" applyAlignment="1" applyBorder="1" applyFont="1">
      <alignment readingOrder="0"/>
    </xf>
    <xf borderId="1" fillId="6" fontId="5" numFmtId="0" xfId="0" applyAlignment="1" applyBorder="1" applyFill="1" applyFont="1">
      <alignment readingOrder="0" shrinkToFit="0" wrapText="1"/>
    </xf>
    <xf borderId="1" fillId="6" fontId="5" numFmtId="0" xfId="0" applyAlignment="1" applyBorder="1" applyFill="1" applyFont="1">
      <alignment readingOrder="0"/>
    </xf>
    <xf borderId="0" fillId="0" fontId="5" numFmtId="0" xfId="0" applyFont="1"/>
    <xf borderId="2" fillId="3" fontId="15" numFmtId="0" xfId="0" applyBorder="1" applyFill="1" applyFont="1"/>
    <xf borderId="0" fillId="7" fontId="16" numFmtId="0" xfId="0" applyAlignment="1" applyFill="1" applyFont="1">
      <alignment horizontal="center" vertical="bottom"/>
    </xf>
    <xf borderId="5" fillId="0" fontId="6" numFmtId="0" xfId="0" applyAlignment="1" applyBorder="1" applyFont="1">
      <alignment readingOrder="0" shrinkToFit="0" wrapText="1"/>
    </xf>
    <xf borderId="0" fillId="8" fontId="4" numFmtId="0" xfId="0" applyAlignment="1" applyFill="1" applyFont="1">
      <alignment horizontal="center" shrinkToFit="0" wrapText="1"/>
    </xf>
    <xf borderId="6" fillId="0" fontId="7" numFmtId="0" xfId="0" applyBorder="1" applyFont="1"/>
    <xf borderId="0" fillId="9" fontId="4" numFmtId="0" xfId="0" applyAlignment="1" applyFill="1" applyFont="1">
      <alignment horizontal="center" shrinkToFit="0" wrapText="1"/>
    </xf>
    <xf borderId="7" fillId="0" fontId="7" numFmtId="0" xfId="0" applyBorder="1" applyFont="1"/>
    <xf borderId="0" fillId="10" fontId="4" numFmtId="0" xfId="0" applyAlignment="1" applyFill="1" applyFont="1">
      <alignment horizontal="center"/>
    </xf>
    <xf borderId="8" fillId="0" fontId="7" numFmtId="0" xfId="0" applyBorder="1" applyFont="1"/>
    <xf borderId="1" fillId="0" fontId="17" numFmtId="0" xfId="0" applyAlignment="1" applyBorder="1" applyFont="1">
      <alignment shrinkToFit="0" vertical="bottom" wrapText="1"/>
    </xf>
    <xf borderId="9" fillId="0" fontId="7" numFmtId="0" xfId="0" applyBorder="1" applyFont="1"/>
    <xf borderId="10" fillId="0" fontId="7" numFmtId="0" xfId="0" applyBorder="1" applyFont="1"/>
    <xf borderId="1" fillId="0" fontId="17" numFmtId="0" xfId="0" applyAlignment="1" applyBorder="1" applyFont="1">
      <alignment horizontal="center" shrinkToFit="0" vertical="bottom" wrapText="1"/>
    </xf>
    <xf borderId="1" fillId="2" fontId="18" numFmtId="0" xfId="0" applyAlignment="1" applyBorder="1" applyFill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5" fillId="0" fontId="6" numFmtId="0" xfId="0" applyAlignment="1" applyBorder="1" applyFont="1">
      <alignment readingOrder="0" shrinkToFit="0" vertical="center" wrapText="1"/>
    </xf>
    <xf borderId="1" fillId="2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1" fillId="0" fontId="6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shrinkToFit="0" vertical="bottom" wrapText="1"/>
    </xf>
    <xf borderId="0" fillId="0" fontId="5" numFmtId="0" xfId="0" applyFont="1"/>
    <xf borderId="1" fillId="0" fontId="5" numFmtId="49" xfId="0" applyAlignment="1" applyBorder="1" applyFont="1" applyNumberFormat="1">
      <alignment readingOrder="0"/>
    </xf>
    <xf borderId="0" fillId="0" fontId="5" numFmtId="49" xfId="0" applyFont="1" applyNumberFormat="1"/>
    <xf borderId="0" fillId="0" fontId="19" numFmtId="0" xfId="0" applyAlignment="1" applyFont="1">
      <alignment horizontal="center"/>
    </xf>
    <xf borderId="2" fillId="4" fontId="20" numFmtId="0" xfId="0" applyAlignment="1" applyBorder="1" applyFill="1" applyFont="1">
      <alignment horizontal="center" shrinkToFit="0" wrapText="1"/>
    </xf>
    <xf borderId="1" fillId="2" fontId="20" numFmtId="0" xfId="0" applyAlignment="1" applyBorder="1" applyFill="1" applyFont="1">
      <alignment horizontal="center" shrinkToFit="0" wrapText="1"/>
    </xf>
    <xf borderId="0" fillId="2" fontId="6" numFmtId="0" xfId="0" applyFill="1" applyFont="1"/>
    <xf borderId="1" fillId="2" fontId="20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5" numFmtId="0" xfId="0" applyFont="1"/>
    <xf borderId="1" fillId="9" fontId="17" numFmtId="0" xfId="0" applyAlignment="1" applyBorder="1" applyFill="1" applyFont="1">
      <alignment horizontal="center" vertical="bottom"/>
    </xf>
    <xf borderId="2" fillId="9" fontId="17" numFmtId="0" xfId="0" applyAlignment="1" applyBorder="1" applyFill="1" applyFont="1">
      <alignment horizontal="center" vertical="bottom"/>
    </xf>
    <xf borderId="1" fillId="9" fontId="17" numFmtId="0" xfId="0" applyAlignment="1" applyBorder="1" applyFill="1" applyFont="1">
      <alignment horizontal="center" shrinkToFit="0" vertical="bottom" wrapText="1"/>
    </xf>
    <xf borderId="2" fillId="9" fontId="17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1" fillId="11" fontId="6" numFmtId="0" xfId="0" applyAlignment="1" applyBorder="1" applyFill="1" applyFont="1">
      <alignment readingOrder="0" vertical="bottom"/>
    </xf>
    <xf borderId="2" fillId="12" fontId="6" numFmtId="0" xfId="0" applyAlignment="1" applyBorder="1" applyFill="1" applyFont="1">
      <alignment readingOrder="0" vertical="bottom"/>
    </xf>
    <xf borderId="1" fillId="13" fontId="6" numFmtId="0" xfId="0" applyAlignment="1" applyBorder="1" applyFill="1" applyFont="1">
      <alignment readingOrder="0" vertical="bottom"/>
    </xf>
    <xf borderId="2" fillId="14" fontId="6" numFmtId="0" xfId="0" applyAlignment="1" applyBorder="1" applyFill="1" applyFont="1">
      <alignment readingOrder="0" vertical="bottom"/>
    </xf>
    <xf borderId="1" fillId="15" fontId="6" numFmtId="0" xfId="0" applyAlignment="1" applyBorder="1" applyFill="1" applyFont="1">
      <alignment readingOrder="0" vertical="bottom"/>
    </xf>
    <xf borderId="1" fillId="2" fontId="6" numFmtId="0" xfId="0" applyAlignment="1" applyBorder="1" applyFill="1" applyFont="1">
      <alignment vertical="bottom"/>
    </xf>
    <xf borderId="2" fillId="5" fontId="21" numFmtId="0" xfId="0" applyAlignment="1" applyBorder="1" applyFill="1" applyFont="1">
      <alignment horizontal="center" shrinkToFit="0" wrapText="1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3" name="Shape 3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4" name="Shape 4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685800</xdr:colOff>
      <xdr:row>7</xdr:row>
      <xdr:rowOff>114300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s.brown.edu/courses/" TargetMode="External"/><Relationship Id="rId2" Type="http://schemas.openxmlformats.org/officeDocument/2006/relationships/hyperlink" Target="https://www.abet.org/wp-content/uploads/2023/05/C001_CAC-Criteria_2023-2024.pdf?utm_source" TargetMode="External"/><Relationship Id="rId3" Type="http://schemas.openxmlformats.org/officeDocument/2006/relationships/hyperlink" Target="https://www.acm.org/education/curricula-recommendation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3" t="s">
        <v>3</v>
      </c>
    </row>
    <row r="2" ht="15.75" customHeight="1">
      <c r="A2" s="8">
        <f>VALUE(LEFT(F4,FIND(" - ",F4)-1))</f>
        <v>795</v>
      </c>
      <c r="B2" s="10"/>
    </row>
    <row r="3" ht="15.75" customHeight="1">
      <c r="B3" s="12"/>
      <c r="C3" s="12"/>
      <c r="D3" s="14" t="s">
        <v>4</v>
      </c>
      <c r="E3" s="13"/>
      <c r="F3" s="20" t="str">
        <f>IFERROR(__xludf.DUMMYFUNCTION("VLOOKUP(A2,IMPORTRANGE(""1j2lHEvOoZ_EPY086Qt7f7AFaZGVfiYKJxXlsnNfWCA0"", ""Listado Cursos!$A$2:$H$100""),2,FALSE)"),"Logica de Sitemas")</f>
        <v>Logica de Sitemas</v>
      </c>
      <c r="G3" s="11"/>
      <c r="H3" s="11"/>
      <c r="I3" s="11"/>
      <c r="J3" s="13"/>
      <c r="K3" s="22"/>
      <c r="L3" s="19"/>
    </row>
    <row r="4" ht="15.75" customHeight="1">
      <c r="B4" s="12"/>
      <c r="C4" s="12"/>
      <c r="D4" s="14" t="s">
        <v>10</v>
      </c>
      <c r="E4" s="13"/>
      <c r="F4" s="27" t="s">
        <v>18</v>
      </c>
      <c r="G4" s="11"/>
      <c r="H4" s="11"/>
      <c r="I4" s="11"/>
      <c r="J4" s="13"/>
      <c r="K4" s="22"/>
      <c r="L4" s="19"/>
    </row>
    <row r="5" ht="15.75" customHeight="1">
      <c r="B5" s="12"/>
      <c r="C5" s="12"/>
      <c r="D5" s="14" t="s">
        <v>24</v>
      </c>
      <c r="E5" s="13"/>
      <c r="F5" s="29">
        <f>IFERROR(__xludf.DUMMYFUNCTION("VLOOKUP(A2,IMPORTRANGE(""1j2lHEvOoZ_EPY086Qt7f7AFaZGVfiYKJxXlsnNfWCA0"", ""Listado Cursos!A:G""),4,FALSE)"),3.0)</f>
        <v>3</v>
      </c>
      <c r="G5" s="11"/>
      <c r="H5" s="11"/>
      <c r="I5" s="11"/>
      <c r="J5" s="13"/>
      <c r="K5" s="22"/>
      <c r="L5" s="30"/>
    </row>
    <row r="6" ht="15.75" customHeight="1">
      <c r="B6" s="12"/>
      <c r="C6" s="12"/>
      <c r="D6" s="14" t="s">
        <v>26</v>
      </c>
      <c r="E6" s="13"/>
      <c r="F6" s="29" t="str">
        <f>IFERROR(__xludf.DUMMYFUNCTION("VLOOKUP(A2,IMPORTRANGE(""1j2lHEvOoZ_EPY086Qt7f7AFaZGVfiYKJxXlsnNfWCA0"", ""Listado Cursos!A:G""),6,FALSE)"),"Sistemas")</f>
        <v>Sistemas</v>
      </c>
      <c r="G6" s="11"/>
      <c r="H6" s="11"/>
      <c r="I6" s="11"/>
      <c r="J6" s="13"/>
      <c r="K6" s="22"/>
      <c r="L6" s="30"/>
    </row>
    <row r="7" ht="15.75" customHeight="1">
      <c r="B7" s="33"/>
      <c r="C7" s="33"/>
      <c r="D7" s="34" t="s">
        <v>28</v>
      </c>
      <c r="E7" s="13"/>
      <c r="F7" s="29">
        <f>IFERROR(__xludf.DUMMYFUNCTION("VLOOKUP(A2,IMPORTRANGE(""1j2lHEvOoZ_EPY086Qt7f7AFaZGVfiYKJxXlsnNfWCA0"", ""Listado Cursos!A:G""),3,FALSE)"),3.0)</f>
        <v>3</v>
      </c>
      <c r="G7" s="11"/>
      <c r="H7" s="11"/>
      <c r="I7" s="11"/>
      <c r="J7" s="13"/>
      <c r="K7" s="33"/>
      <c r="L7" s="30"/>
    </row>
    <row r="8" ht="15.75" customHeight="1">
      <c r="B8" s="33"/>
      <c r="C8" s="33"/>
      <c r="D8" s="34" t="s">
        <v>30</v>
      </c>
      <c r="E8" s="13"/>
      <c r="F8" s="29">
        <v>4.0</v>
      </c>
      <c r="G8" s="11"/>
      <c r="H8" s="11"/>
      <c r="I8" s="11"/>
      <c r="J8" s="13"/>
      <c r="K8" s="33"/>
      <c r="L8" s="30"/>
    </row>
    <row r="9" ht="15.75" customHeight="1">
      <c r="B9" s="33"/>
      <c r="C9" s="33"/>
      <c r="D9" s="33"/>
      <c r="E9" s="33"/>
      <c r="F9" s="33"/>
      <c r="G9" s="33"/>
      <c r="H9" s="33"/>
      <c r="I9" s="33"/>
      <c r="J9" s="33"/>
      <c r="K9" s="33"/>
      <c r="L9" s="30"/>
    </row>
    <row r="10" ht="15.75" customHeight="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ht="15.75" customHeight="1">
      <c r="B11" s="43" t="s">
        <v>34</v>
      </c>
    </row>
    <row r="12" ht="15.75" customHeight="1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ht="15.75" customHeight="1">
      <c r="B13" s="45" t="s">
        <v>36</v>
      </c>
      <c r="E13" s="33"/>
      <c r="F13" s="47" t="s">
        <v>37</v>
      </c>
      <c r="I13" s="33"/>
      <c r="J13" s="49" t="s">
        <v>38</v>
      </c>
    </row>
    <row r="14" ht="15.75" customHeight="1">
      <c r="B14" s="51" t="s">
        <v>39</v>
      </c>
      <c r="C14" s="51" t="s">
        <v>40</v>
      </c>
      <c r="D14" s="51" t="s">
        <v>41</v>
      </c>
      <c r="E14" s="33"/>
      <c r="F14" s="54" t="s">
        <v>39</v>
      </c>
      <c r="G14" s="51" t="s">
        <v>40</v>
      </c>
      <c r="H14" s="51" t="s">
        <v>41</v>
      </c>
      <c r="I14" s="33"/>
      <c r="J14" s="55" t="s">
        <v>39</v>
      </c>
      <c r="K14" s="56" t="s">
        <v>40</v>
      </c>
      <c r="L14" s="56" t="s">
        <v>41</v>
      </c>
    </row>
    <row r="15" ht="15.75" customHeight="1">
      <c r="B15" s="57">
        <v>1.0</v>
      </c>
      <c r="C15" s="59">
        <f>IFERROR(__xludf.DUMMYFUNCTION("ARRAYFORMULA(TRANSPOSE(SPLIT(FILTER(IMPORTRANGE(""1j2lHEvOoZ_EPY086Qt7f7AFaZGVfiYKJxXlsnNfWCA0"", ""Listado Cursos!E:E""), IMPORTRANGE(""1j2lHEvOoZ_EPY086Qt7f7AFaZGVfiYKJxXlsnNfWCA0"", ""Listado Cursos!A:A"")=A2), "","")))"),103.0)</f>
        <v>103</v>
      </c>
      <c r="D15" s="60" t="str">
        <f>IFERROR(__xludf.DUMMYFUNCTION("IF(C15="""","""",VLOOKUP(C15,IMPORTRANGE(""1j2lHEvOoZ_EPY086Qt7f7AFaZGVfiYKJxXlsnNfWCA0"", ""Listado Cursos!A:B""),2,FALSE))"),"Área Matemática Básica 2")</f>
        <v>Área Matemática Básica 2</v>
      </c>
      <c r="E15" s="33"/>
      <c r="F15" s="57">
        <v>1.0</v>
      </c>
      <c r="G15" s="61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C"&amp;"ursos!A:A"")&lt;&gt;150)"),795.0)</f>
        <v>795</v>
      </c>
      <c r="H15" s="63" t="str">
        <f>IFERROR(__xludf.DUMMYFUNCTION("""COMPUTED_VALUE"""),"Logica de Sitemas")</f>
        <v>Logica de Sitemas</v>
      </c>
      <c r="I15" s="33"/>
      <c r="J15" s="64">
        <v>1.0</v>
      </c>
      <c r="K15" s="65">
        <f>IFERROR(__xludf.DUMMYFUNCTION("FILTER(IMPORTRANGE(""1j2lHEvOoZ_EPY086Qt7f7AFaZGVfiYKJxXlsnNfWCA0"", ""Listado Cursos!A:B""), ISNUMBER(SEARCH(A2, IMPORTRANGE(""1j2lHEvOoZ_EPY086Qt7f7AFaZGVfiYKJxXlsnNfWCA0"", ""Listado Cursos!E:E""))))"),796.0)</f>
        <v>796</v>
      </c>
      <c r="L15" s="66" t="str">
        <f>IFERROR(__xludf.DUMMYFUNCTION("""COMPUTED_VALUE"""),"Lenguajes Formales y de Programación")</f>
        <v>Lenguajes Formales y de Programación</v>
      </c>
    </row>
    <row r="16" ht="15.75" customHeight="1">
      <c r="B16" s="57">
        <v>2.0</v>
      </c>
      <c r="C16" s="60">
        <f>IFERROR(__xludf.DUMMYFUNCTION("""COMPUTED_VALUE"""),147.0)</f>
        <v>147</v>
      </c>
      <c r="D16" s="60" t="str">
        <f>IFERROR(__xludf.DUMMYFUNCTION("IF(C16="""","""",VLOOKUP(C16,IMPORTRANGE(""1j2lHEvOoZ_EPY086Qt7f7AFaZGVfiYKJxXlsnNfWCA0"", ""Listado Cursos!A:B""),2,FALSE))"),"Física Básica")</f>
        <v>Física Básica</v>
      </c>
      <c r="E16" s="33"/>
      <c r="F16" s="57">
        <v>2.0</v>
      </c>
      <c r="G16" s="61">
        <f>IFERROR(__xludf.DUMMYFUNCTION("""COMPUTED_VALUE"""),962.0)</f>
        <v>962</v>
      </c>
      <c r="H16" s="63" t="str">
        <f>IFERROR(__xludf.DUMMYFUNCTION("""COMPUTED_VALUE"""),"Matemática Para Computación 2")</f>
        <v>Matemática Para Computación 2</v>
      </c>
      <c r="I16" s="33"/>
      <c r="J16" s="64">
        <v>2.0</v>
      </c>
      <c r="K16" s="65">
        <f>IFERROR(__xludf.DUMMYFUNCTION("""COMPUTED_VALUE"""),771.0)</f>
        <v>771</v>
      </c>
      <c r="L16" s="66" t="str">
        <f>IFERROR(__xludf.DUMMYFUNCTION("""COMPUTED_VALUE"""),"Introducción a la Programación y Computación 2")</f>
        <v>Introducción a la Programación y Computación 2</v>
      </c>
    </row>
    <row r="17" ht="15.75" customHeight="1">
      <c r="B17" s="57">
        <v>3.0</v>
      </c>
      <c r="C17" s="60">
        <f>IFERROR(__xludf.DUMMYFUNCTION("""COMPUTED_VALUE"""),960.0)</f>
        <v>960</v>
      </c>
      <c r="D17" s="60" t="str">
        <f>IFERROR(__xludf.DUMMYFUNCTION("IF(C17="""","""",VLOOKUP(C17,IMPORTRANGE(""1j2lHEvOoZ_EPY086Qt7f7AFaZGVfiYKJxXlsnNfWCA0"", ""Listado Cursos!A:B""),2,FALSE))"),"Matemática Para Computación 1")</f>
        <v>Matemática Para Computación 1</v>
      </c>
      <c r="E17" s="33"/>
      <c r="F17" s="57">
        <v>3.0</v>
      </c>
      <c r="G17" s="61">
        <f>IFERROR(__xludf.DUMMYFUNCTION("""COMPUTED_VALUE"""),770.0)</f>
        <v>770</v>
      </c>
      <c r="H17" s="63" t="str">
        <f>IFERROR(__xludf.DUMMYFUNCTION("""COMPUTED_VALUE"""),"Introducción a ala programación y computación 1")</f>
        <v>Introducción a ala programación y computación 1</v>
      </c>
      <c r="I17" s="33"/>
      <c r="J17" s="64">
        <v>3.0</v>
      </c>
      <c r="K17" s="67"/>
      <c r="L17" s="66"/>
    </row>
    <row r="18" ht="15.75" customHeight="1">
      <c r="B18" s="57">
        <v>4.0</v>
      </c>
      <c r="C18" s="60"/>
      <c r="D18" s="60" t="str">
        <f>IFERROR(__xludf.DUMMYFUNCTION("IF(C18="""","""",VLOOKUP(C18,IMPORTRANGE(""1j2lHEvOoZ_EPY086Qt7f7AFaZGVfiYKJxXlsnNfWCA0"", ""Listado Cursos!A:B""),2,FALSE))"),"")</f>
        <v/>
      </c>
      <c r="E18" s="33"/>
      <c r="F18" s="57">
        <v>4.0</v>
      </c>
      <c r="G18" s="61">
        <f>IFERROR(__xludf.DUMMYFUNCTION("""COMPUTED_VALUE"""),107.0)</f>
        <v>107</v>
      </c>
      <c r="H18" s="63" t="str">
        <f>IFERROR(__xludf.DUMMYFUNCTION("""COMPUTED_VALUE"""),"Área Matemática Intermedia 1")</f>
        <v>Área Matemática Intermedia 1</v>
      </c>
      <c r="I18" s="33"/>
      <c r="J18" s="64">
        <v>4.0</v>
      </c>
      <c r="K18" s="67"/>
      <c r="L18" s="66"/>
    </row>
    <row r="19" ht="15.75" customHeight="1">
      <c r="B19" s="57">
        <v>5.0</v>
      </c>
      <c r="C19" s="60"/>
      <c r="D19" s="60" t="str">
        <f>IFERROR(__xludf.DUMMYFUNCTION("IF(C19="""","""",VLOOKUP(C19,IMPORTRANGE(""1j2lHEvOoZ_EPY086Qt7f7AFaZGVfiYKJxXlsnNfWCA0"", ""Listado Cursos!A:B""),2,FALSE))"),"")</f>
        <v/>
      </c>
      <c r="E19" s="33"/>
      <c r="F19" s="57">
        <v>5.0</v>
      </c>
      <c r="G19" s="61">
        <f>IFERROR(__xludf.DUMMYFUNCTION("""COMPUTED_VALUE"""),1.0)</f>
        <v>1</v>
      </c>
      <c r="H19" s="63" t="str">
        <f>IFERROR(__xludf.DUMMYFUNCTION("""COMPUTED_VALUE"""),"Ética Profesional")</f>
        <v>Ética Profesional</v>
      </c>
      <c r="I19" s="33"/>
      <c r="J19" s="64">
        <v>5.0</v>
      </c>
      <c r="K19" s="67"/>
      <c r="L19" s="66"/>
    </row>
    <row r="20" ht="15.75" customHeight="1">
      <c r="B20" s="57">
        <v>6.0</v>
      </c>
      <c r="C20" s="60"/>
      <c r="D20" s="60" t="str">
        <f>IFERROR(__xludf.DUMMYFUNCTION("IF(C20="""","""",VLOOKUP(C20,IMPORTRANGE(""1j2lHEvOoZ_EPY086Qt7f7AFaZGVfiYKJxXlsnNfWCA0"", ""Listado Cursos!A:B""),2,FALSE))"),"")</f>
        <v/>
      </c>
      <c r="E20" s="33"/>
      <c r="F20" s="57">
        <v>6.0</v>
      </c>
      <c r="G20" s="61">
        <f>IFERROR(__xludf.DUMMYFUNCTION("""COMPUTED_VALUE"""),9.0)</f>
        <v>9</v>
      </c>
      <c r="H20" s="60" t="str">
        <f>IFERROR(__xludf.DUMMYFUNCTION("""COMPUTED_VALUE"""),"Idioma Técnico 3")</f>
        <v>Idioma Técnico 3</v>
      </c>
      <c r="I20" s="33"/>
      <c r="J20" s="64">
        <v>6.0</v>
      </c>
      <c r="K20" s="67"/>
      <c r="L20" s="66"/>
    </row>
    <row r="21" ht="15.75" customHeight="1">
      <c r="B21" s="57">
        <v>7.0</v>
      </c>
      <c r="C21" s="60"/>
      <c r="D21" s="60" t="str">
        <f>IFERROR(__xludf.DUMMYFUNCTION("IF(C21="""","""",VLOOKUP(C21,IMPORTRANGE(""1j2lHEvOoZ_EPY086Qt7f7AFaZGVfiYKJxXlsnNfWCA0"", ""Listado Cursos!A:B""),2,FALSE))"),"")</f>
        <v/>
      </c>
      <c r="E21" s="33"/>
      <c r="F21" s="57">
        <v>7.0</v>
      </c>
      <c r="G21" s="61">
        <f>IFERROR(__xludf.DUMMYFUNCTION("""COMPUTED_VALUE"""),92.0)</f>
        <v>92</v>
      </c>
      <c r="H21" s="60" t="str">
        <f>IFERROR(__xludf.DUMMYFUNCTION("""COMPUTED_VALUE"""),"Programacion de Computadoras 2")</f>
        <v>Programacion de Computadoras 2</v>
      </c>
      <c r="I21" s="33"/>
      <c r="J21" s="64">
        <v>7.0</v>
      </c>
      <c r="K21" s="67"/>
      <c r="L21" s="66"/>
    </row>
    <row r="22" ht="15.75" customHeight="1">
      <c r="B22" s="57">
        <v>8.0</v>
      </c>
      <c r="C22" s="60"/>
      <c r="D22" s="60" t="str">
        <f>IFERROR(__xludf.DUMMYFUNCTION("IF(C22="""","""",VLOOKUP(C22,IMPORTRANGE(""1j2lHEvOoZ_EPY086Qt7f7AFaZGVfiYKJxXlsnNfWCA0"", ""Listado Cursos!A:B""),2,FALSE))"),"")</f>
        <v/>
      </c>
      <c r="E22" s="33"/>
      <c r="F22" s="57">
        <v>8.0</v>
      </c>
      <c r="G22" s="63">
        <f>IFERROR(__xludf.DUMMYFUNCTION("""COMPUTED_VALUE"""),89.0)</f>
        <v>89</v>
      </c>
      <c r="H22" s="60" t="str">
        <f>IFERROR(__xludf.DUMMYFUNCTION("""COMPUTED_VALUE"""),"Comunicación Asertiva")</f>
        <v>Comunicación Asertiva</v>
      </c>
      <c r="I22" s="33"/>
      <c r="J22" s="64">
        <v>8.0</v>
      </c>
      <c r="K22" s="66"/>
      <c r="L22" s="66"/>
    </row>
    <row r="23" ht="15.75" customHeight="1">
      <c r="B23" s="57">
        <v>9.0</v>
      </c>
      <c r="C23" s="60"/>
      <c r="D23" s="60" t="str">
        <f>IFERROR(__xludf.DUMMYFUNCTION("IF(C23="""","""",VLOOKUP(C23,IMPORTRANGE(""1j2lHEvOoZ_EPY086Qt7f7AFaZGVfiYKJxXlsnNfWCA0"", ""Listado Cursos!A:B""),2,FALSE))"),"")</f>
        <v/>
      </c>
      <c r="E23" s="33"/>
      <c r="F23" s="57">
        <v>9.0</v>
      </c>
      <c r="G23" s="60"/>
      <c r="H23" s="60"/>
      <c r="I23" s="33"/>
      <c r="J23" s="64">
        <v>9.0</v>
      </c>
      <c r="K23" s="66"/>
      <c r="L23" s="66"/>
    </row>
    <row r="24" ht="15.75" customHeight="1">
      <c r="B24" s="57">
        <v>10.0</v>
      </c>
      <c r="C24" s="60"/>
      <c r="D24" s="60" t="str">
        <f>IFERROR(__xludf.DUMMYFUNCTION("IF(C24="""","""",VLOOKUP(C24,IMPORTRANGE(""1j2lHEvOoZ_EPY086Qt7f7AFaZGVfiYKJxXlsnNfWCA0"", ""Listado Cursos!A:B""),2,FALSE))"),"")</f>
        <v/>
      </c>
      <c r="E24" s="33"/>
      <c r="F24" s="57">
        <v>10.0</v>
      </c>
      <c r="G24" s="60"/>
      <c r="H24" s="60"/>
      <c r="I24" s="33"/>
      <c r="J24" s="64">
        <v>10.0</v>
      </c>
      <c r="K24" s="66"/>
      <c r="L24" s="66"/>
    </row>
    <row r="25" ht="15.75" customHeight="1">
      <c r="B25" s="57">
        <v>11.0</v>
      </c>
      <c r="C25" s="60"/>
      <c r="D25" s="60" t="str">
        <f>IFERROR(__xludf.DUMMYFUNCTION("IF(C25="""","""",VLOOKUP(C25,IMPORTRANGE(""1j2lHEvOoZ_EPY086Qt7f7AFaZGVfiYKJxXlsnNfWCA0"", ""Listado Cursos!A:B""),2,FALSE))"),"")</f>
        <v/>
      </c>
      <c r="E25" s="33"/>
      <c r="F25" s="57">
        <v>11.0</v>
      </c>
      <c r="G25" s="60"/>
      <c r="H25" s="60"/>
      <c r="I25" s="33"/>
      <c r="J25" s="64">
        <v>11.0</v>
      </c>
      <c r="K25" s="66"/>
      <c r="L25" s="66"/>
    </row>
    <row r="26" ht="15.75" customHeight="1">
      <c r="B26" s="57">
        <v>12.0</v>
      </c>
      <c r="C26" s="63"/>
      <c r="D26" s="60" t="str">
        <f>IFERROR(__xludf.DUMMYFUNCTION("IF(C26="""","""",VLOOKUP(C26,IMPORTRANGE(""1j2lHEvOoZ_EPY086Qt7f7AFaZGVfiYKJxXlsnNfWCA0"", ""Listado Cursos!A:B""),2,FALSE))"),"")</f>
        <v/>
      </c>
      <c r="E26" s="33"/>
      <c r="F26" s="57">
        <v>12.0</v>
      </c>
      <c r="G26" s="60"/>
      <c r="H26" s="60"/>
      <c r="I26" s="33"/>
      <c r="J26" s="64">
        <v>12.0</v>
      </c>
      <c r="K26" s="66"/>
      <c r="L26" s="66"/>
    </row>
    <row r="27" ht="15.75" customHeight="1">
      <c r="B27" s="57">
        <v>13.0</v>
      </c>
      <c r="C27" s="63"/>
      <c r="D27" s="60" t="str">
        <f>IFERROR(__xludf.DUMMYFUNCTION("IF(C27="""","""",VLOOKUP(C27,IMPORTRANGE(""1j2lHEvOoZ_EPY086Qt7f7AFaZGVfiYKJxXlsnNfWCA0"", ""Listado Cursos!A:B""),2,FALSE))"),"")</f>
        <v/>
      </c>
      <c r="E27" s="33"/>
      <c r="F27" s="57">
        <v>13.0</v>
      </c>
      <c r="G27" s="60"/>
      <c r="H27" s="60"/>
      <c r="I27" s="33"/>
      <c r="J27" s="64">
        <v>13.0</v>
      </c>
      <c r="K27" s="66"/>
      <c r="L27" s="66"/>
    </row>
    <row r="28" ht="15.75" customHeight="1">
      <c r="B28" s="57">
        <v>14.0</v>
      </c>
      <c r="C28" s="63"/>
      <c r="D28" s="60" t="str">
        <f>IFERROR(__xludf.DUMMYFUNCTION("IF(C28="""","""",VLOOKUP(C28,IMPORTRANGE(""1j2lHEvOoZ_EPY086Qt7f7AFaZGVfiYKJxXlsnNfWCA0"", ""Listado Cursos!A:B""),2,FALSE))"),"")</f>
        <v/>
      </c>
      <c r="E28" s="33"/>
      <c r="F28" s="57">
        <v>14.0</v>
      </c>
      <c r="G28" s="60"/>
      <c r="H28" s="60"/>
      <c r="I28" s="33"/>
      <c r="J28" s="64">
        <v>14.0</v>
      </c>
      <c r="K28" s="66"/>
      <c r="L28" s="66"/>
    </row>
    <row r="29" ht="15.75" customHeight="1">
      <c r="B29" s="10"/>
    </row>
    <row r="30" ht="15.75" customHeight="1">
      <c r="B30" s="10"/>
    </row>
    <row r="31" ht="15.75" customHeight="1">
      <c r="B31" s="43" t="s">
        <v>60</v>
      </c>
    </row>
    <row r="32" ht="15.75" customHeight="1">
      <c r="B32" s="10"/>
    </row>
    <row r="33" ht="15.75" customHeight="1">
      <c r="B33" s="68" t="s">
        <v>39</v>
      </c>
      <c r="C33" s="69" t="s">
        <v>61</v>
      </c>
      <c r="D33" s="70" t="s">
        <v>19</v>
      </c>
      <c r="E33" s="11"/>
      <c r="F33" s="11"/>
      <c r="G33" s="11"/>
      <c r="H33" s="11"/>
      <c r="I33" s="11"/>
      <c r="J33" s="11"/>
      <c r="K33" s="13"/>
      <c r="L33" s="68" t="s">
        <v>62</v>
      </c>
    </row>
    <row r="34" ht="37.5" customHeight="1">
      <c r="B34" s="28">
        <f>IFERROR(__xludf.DUMMYFUNCTION("FILTER(METADA!D2:D17, ISEVEN(ROW(METADA!D2:D17)))"),1.0)</f>
        <v>1</v>
      </c>
      <c r="C34" s="71" t="str">
        <f>IFERROR(__xludf.DUMMYFUNCTION("FILTER(METADA!E2:E17, ISEVEN(ROW(METADA!E2:E17)))"),"Especifica")</f>
        <v>Especifica</v>
      </c>
      <c r="D34" s="16" t="str">
        <f>IFERROR(__xludf.DUMMYFUNCTION("FILTER(METADA!E2:E17, ISODD(ROW(METADA!E2:E17)))"),"Identifica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E34" s="11"/>
      <c r="F34" s="11"/>
      <c r="G34" s="11"/>
      <c r="H34" s="11"/>
      <c r="I34" s="11"/>
      <c r="J34" s="11"/>
      <c r="K34" s="13"/>
      <c r="L34" s="71" t="str">
        <f>IFERROR(__xludf.DUMMYFUNCTION("FILTER(METADA!L2:L17, ISEVEN(ROW(METADA!L2:L17)))"),"Recordar")</f>
        <v>Recordar</v>
      </c>
    </row>
    <row r="35" ht="37.5" customHeight="1">
      <c r="B35" s="28">
        <f>IFERROR(__xludf.DUMMYFUNCTION("""COMPUTED_VALUE"""),2.0)</f>
        <v>2</v>
      </c>
      <c r="C35" s="71" t="str">
        <f>IFERROR(__xludf.DUMMYFUNCTION("""COMPUTED_VALUE"""),"Especifica")</f>
        <v>Especifica</v>
      </c>
      <c r="D35" s="16" t="str">
        <f>IFERROR(__xludf.DUMMYFUNCTION("""COMPUTED_VALUE"""),"Define las diferencias entre lógica formal, matemática y sistémica con base en ejemplos prácticos y ejercicios comparativos dentro de contextos académicos del curso  ")</f>
        <v>Define las diferencias entre lógica formal, matemática y sistémica con base en ejemplos prácticos y ejercicios comparativos dentro de contextos académicos del curso  </v>
      </c>
      <c r="E35" s="11"/>
      <c r="F35" s="11"/>
      <c r="G35" s="11"/>
      <c r="H35" s="11"/>
      <c r="I35" s="11"/>
      <c r="J35" s="11"/>
      <c r="K35" s="13"/>
      <c r="L35" s="71" t="str">
        <f>IFERROR(__xludf.DUMMYFUNCTION("""COMPUTED_VALUE"""),"Comprensión")</f>
        <v>Comprensión</v>
      </c>
    </row>
    <row r="36" ht="37.5" customHeight="1">
      <c r="B36" s="28">
        <f>IFERROR(__xludf.DUMMYFUNCTION("""COMPUTED_VALUE"""),3.0)</f>
        <v>3</v>
      </c>
      <c r="C36" s="71" t="str">
        <f>IFERROR(__xludf.DUMMYFUNCTION("""COMPUTED_VALUE"""),"Especifica")</f>
        <v>Especifica</v>
      </c>
      <c r="D36" s="16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E36" s="11"/>
      <c r="F36" s="11"/>
      <c r="G36" s="11"/>
      <c r="H36" s="11"/>
      <c r="I36" s="11"/>
      <c r="J36" s="11"/>
      <c r="K36" s="13"/>
      <c r="L36" s="71" t="str">
        <f>IFERROR(__xludf.DUMMYFUNCTION("""COMPUTED_VALUE"""),"Crear")</f>
        <v>Crear</v>
      </c>
    </row>
    <row r="37" ht="37.5" customHeight="1">
      <c r="B37" s="28">
        <f>IFERROR(__xludf.DUMMYFUNCTION("""COMPUTED_VALUE"""),4.0)</f>
        <v>4</v>
      </c>
      <c r="C37" s="71" t="str">
        <f>IFERROR(__xludf.DUMMYFUNCTION("""COMPUTED_VALUE"""),"Especifica")</f>
        <v>Especifica</v>
      </c>
      <c r="D37" s="16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E37" s="11"/>
      <c r="F37" s="11"/>
      <c r="G37" s="11"/>
      <c r="H37" s="11"/>
      <c r="I37" s="11"/>
      <c r="J37" s="11"/>
      <c r="K37" s="13"/>
      <c r="L37" s="71" t="str">
        <f>IFERROR(__xludf.DUMMYFUNCTION("""COMPUTED_VALUE"""),"Recordar")</f>
        <v>Recordar</v>
      </c>
    </row>
    <row r="38" ht="37.5" customHeight="1">
      <c r="B38" s="28">
        <f>IFERROR(__xludf.DUMMYFUNCTION("""COMPUTED_VALUE"""),5.0)</f>
        <v>5</v>
      </c>
      <c r="C38" s="71" t="str">
        <f>IFERROR(__xludf.DUMMYFUNCTION("""COMPUTED_VALUE"""),"Especifica")</f>
        <v>Especifica</v>
      </c>
      <c r="D38" s="16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E38" s="11"/>
      <c r="F38" s="11"/>
      <c r="G38" s="11"/>
      <c r="H38" s="11"/>
      <c r="I38" s="11"/>
      <c r="J38" s="11"/>
      <c r="K38" s="13"/>
      <c r="L38" s="71" t="str">
        <f>IFERROR(__xludf.DUMMYFUNCTION("""COMPUTED_VALUE"""),"Evaluar")</f>
        <v>Evaluar</v>
      </c>
    </row>
    <row r="39" ht="37.5" customHeight="1">
      <c r="B39" s="28">
        <f>IFERROR(__xludf.DUMMYFUNCTION("""COMPUTED_VALUE"""),6.0)</f>
        <v>6</v>
      </c>
      <c r="C39" s="71" t="str">
        <f>IFERROR(__xludf.DUMMYFUNCTION("""COMPUTED_VALUE"""),"General")</f>
        <v>General</v>
      </c>
      <c r="D39" s="16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E39" s="11"/>
      <c r="F39" s="11"/>
      <c r="G39" s="11"/>
      <c r="H39" s="11"/>
      <c r="I39" s="11"/>
      <c r="J39" s="11"/>
      <c r="K39" s="13"/>
      <c r="L39" s="71" t="str">
        <f>IFERROR(__xludf.DUMMYFUNCTION("""COMPUTED_VALUE"""),"Comprensión")</f>
        <v>Comprensión</v>
      </c>
    </row>
    <row r="40" ht="37.5" customHeight="1">
      <c r="B40" s="28">
        <f>IFERROR(__xludf.DUMMYFUNCTION("""COMPUTED_VALUE"""),7.0)</f>
        <v>7</v>
      </c>
      <c r="C40" s="71" t="str">
        <f>IFERROR(__xludf.DUMMYFUNCTION("""COMPUTED_VALUE"""),"Especifica")</f>
        <v>Especifica</v>
      </c>
      <c r="D40" s="9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E40" s="11"/>
      <c r="F40" s="11"/>
      <c r="G40" s="11"/>
      <c r="H40" s="11"/>
      <c r="I40" s="11"/>
      <c r="J40" s="11"/>
      <c r="K40" s="13"/>
      <c r="L40" s="71"/>
    </row>
    <row r="41" ht="15.75" customHeight="1">
      <c r="B41" s="10"/>
      <c r="C41" s="41"/>
      <c r="D41" s="41"/>
      <c r="L41" s="41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  <col customWidth="1" min="7" max="7" width="15.13"/>
  </cols>
  <sheetData>
    <row r="1" ht="15.75" customHeight="1">
      <c r="B1" s="2" t="s">
        <v>0</v>
      </c>
    </row>
    <row r="2" ht="15.75" customHeight="1"/>
    <row r="3" ht="15.75" customHeight="1">
      <c r="B3" s="5" t="s">
        <v>4</v>
      </c>
      <c r="C3" s="9" t="str">
        <f>Competencias_actuales!F3</f>
        <v>Logica de Sitemas</v>
      </c>
      <c r="D3" s="11"/>
      <c r="E3" s="11"/>
      <c r="F3" s="11"/>
      <c r="G3" s="13"/>
    </row>
    <row r="4" ht="15.75" customHeight="1">
      <c r="B4" s="5" t="s">
        <v>5</v>
      </c>
      <c r="C4" s="15">
        <v>795.0</v>
      </c>
      <c r="D4" s="11"/>
      <c r="E4" s="11"/>
      <c r="F4" s="11"/>
      <c r="G4" s="13"/>
    </row>
    <row r="5" ht="15.75" customHeight="1"/>
    <row r="6" ht="15.75" customHeight="1">
      <c r="B6" s="17" t="s">
        <v>6</v>
      </c>
    </row>
    <row r="7" ht="15.75" customHeight="1">
      <c r="B7" s="18" t="s">
        <v>7</v>
      </c>
    </row>
    <row r="8" ht="15.75" customHeight="1">
      <c r="B8" s="10"/>
      <c r="I8" s="19"/>
    </row>
    <row r="9" ht="15.75" customHeight="1">
      <c r="B9" s="21" t="s">
        <v>8</v>
      </c>
      <c r="C9" s="15" t="s">
        <v>9</v>
      </c>
      <c r="D9" s="11"/>
      <c r="E9" s="11"/>
      <c r="F9" s="11"/>
      <c r="G9" s="13"/>
    </row>
    <row r="10" ht="15.75" customHeight="1">
      <c r="B10" s="21" t="s">
        <v>4</v>
      </c>
      <c r="C10" s="15" t="s">
        <v>12</v>
      </c>
      <c r="D10" s="11"/>
      <c r="E10" s="11"/>
      <c r="F10" s="11"/>
      <c r="G10" s="13"/>
    </row>
    <row r="11" ht="15.75" customHeight="1">
      <c r="B11" s="21" t="s">
        <v>14</v>
      </c>
      <c r="C11" s="38" t="s">
        <v>15</v>
      </c>
      <c r="D11" s="11"/>
      <c r="E11" s="11"/>
      <c r="F11" s="11"/>
      <c r="G11" s="13"/>
    </row>
    <row r="12" ht="15.75" customHeight="1"/>
    <row r="13" ht="15.75" customHeight="1">
      <c r="B13" s="42" t="s">
        <v>33</v>
      </c>
      <c r="C13" s="11"/>
      <c r="D13" s="11"/>
      <c r="E13" s="11"/>
      <c r="F13" s="11"/>
      <c r="G13" s="13"/>
    </row>
    <row r="14" ht="15.75" customHeight="1">
      <c r="B14" s="44" t="s">
        <v>35</v>
      </c>
      <c r="C14" s="46"/>
      <c r="D14" s="46"/>
      <c r="E14" s="46"/>
      <c r="F14" s="46"/>
      <c r="G14" s="48"/>
    </row>
    <row r="15" ht="15.75" customHeight="1">
      <c r="B15" s="50"/>
      <c r="C15" s="52"/>
      <c r="D15" s="52"/>
      <c r="E15" s="52"/>
      <c r="F15" s="52"/>
      <c r="G15" s="53"/>
    </row>
    <row r="16" ht="15.75" customHeight="1"/>
    <row r="17" ht="15.75" customHeight="1">
      <c r="B17" s="42" t="s">
        <v>42</v>
      </c>
      <c r="C17" s="11"/>
      <c r="D17" s="11"/>
      <c r="E17" s="11"/>
      <c r="F17" s="11"/>
      <c r="G17" s="13"/>
    </row>
    <row r="18" ht="15.75" customHeight="1">
      <c r="B18" s="58" t="s">
        <v>43</v>
      </c>
      <c r="C18" s="46"/>
      <c r="D18" s="46"/>
      <c r="E18" s="46"/>
      <c r="F18" s="46"/>
      <c r="G18" s="48"/>
    </row>
    <row r="19" ht="15.75" customHeight="1">
      <c r="B19" s="50"/>
      <c r="C19" s="52"/>
      <c r="D19" s="52"/>
      <c r="E19" s="52"/>
      <c r="F19" s="52"/>
      <c r="G19" s="53"/>
    </row>
    <row r="20" ht="15.75" customHeight="1"/>
    <row r="21" ht="15.75" customHeight="1">
      <c r="B21" s="42" t="s">
        <v>44</v>
      </c>
      <c r="C21" s="11"/>
      <c r="D21" s="11"/>
      <c r="E21" s="11"/>
      <c r="F21" s="11"/>
      <c r="G21" s="13"/>
    </row>
    <row r="22" ht="15.75" customHeight="1">
      <c r="B22" s="62" t="s">
        <v>45</v>
      </c>
      <c r="C22" s="46"/>
      <c r="D22" s="46"/>
      <c r="E22" s="46"/>
      <c r="F22" s="46"/>
      <c r="G22" s="48"/>
    </row>
    <row r="23" ht="15.75" customHeight="1">
      <c r="B23" s="50"/>
      <c r="C23" s="52"/>
      <c r="D23" s="52"/>
      <c r="E23" s="52"/>
      <c r="F23" s="52"/>
      <c r="G23" s="53"/>
    </row>
    <row r="24" ht="15.75" customHeight="1"/>
    <row r="25" ht="15.75" customHeight="1"/>
    <row r="26" ht="15.75" customHeight="1">
      <c r="B26" s="17" t="s">
        <v>46</v>
      </c>
    </row>
    <row r="27" ht="15.75" customHeight="1">
      <c r="B27" s="18" t="s">
        <v>47</v>
      </c>
    </row>
    <row r="28" ht="15.75" customHeight="1"/>
    <row r="29" ht="15.75" customHeight="1">
      <c r="B29" s="21" t="s">
        <v>48</v>
      </c>
      <c r="C29" s="15" t="s">
        <v>49</v>
      </c>
      <c r="D29" s="11"/>
      <c r="E29" s="11"/>
      <c r="F29" s="11"/>
      <c r="G29" s="13"/>
    </row>
    <row r="30" ht="15.75" customHeight="1">
      <c r="B30" s="21" t="s">
        <v>50</v>
      </c>
      <c r="C30" s="15" t="s">
        <v>51</v>
      </c>
      <c r="D30" s="11"/>
      <c r="E30" s="11"/>
      <c r="F30" s="11"/>
      <c r="G30" s="13"/>
    </row>
    <row r="31" ht="15.75" customHeight="1">
      <c r="B31" s="21" t="s">
        <v>52</v>
      </c>
      <c r="C31" s="38" t="s">
        <v>53</v>
      </c>
      <c r="D31" s="11"/>
      <c r="E31" s="11"/>
      <c r="F31" s="11"/>
      <c r="G31" s="13"/>
    </row>
    <row r="32" ht="15.75" customHeight="1"/>
    <row r="33" ht="15.75" customHeight="1">
      <c r="B33" s="42" t="s">
        <v>54</v>
      </c>
      <c r="C33" s="11"/>
      <c r="D33" s="11"/>
      <c r="E33" s="11"/>
      <c r="F33" s="11"/>
      <c r="G33" s="13"/>
    </row>
    <row r="34" ht="15.75" customHeight="1">
      <c r="B34" s="58" t="s">
        <v>55</v>
      </c>
      <c r="C34" s="46"/>
      <c r="D34" s="46"/>
      <c r="E34" s="46"/>
      <c r="F34" s="46"/>
      <c r="G34" s="48"/>
    </row>
    <row r="35" ht="48.0" customHeight="1">
      <c r="B35" s="50"/>
      <c r="C35" s="52"/>
      <c r="D35" s="52"/>
      <c r="E35" s="52"/>
      <c r="F35" s="52"/>
      <c r="G35" s="53"/>
    </row>
    <row r="36" ht="15.75" customHeight="1"/>
    <row r="37" ht="15.75" customHeight="1">
      <c r="B37" s="21" t="s">
        <v>48</v>
      </c>
      <c r="C37" s="15" t="s">
        <v>56</v>
      </c>
      <c r="D37" s="11"/>
      <c r="E37" s="11"/>
      <c r="F37" s="11"/>
      <c r="G37" s="13"/>
    </row>
    <row r="38" ht="15.75" customHeight="1">
      <c r="B38" s="21" t="s">
        <v>50</v>
      </c>
      <c r="C38" s="15" t="s">
        <v>57</v>
      </c>
      <c r="D38" s="11"/>
      <c r="E38" s="11"/>
      <c r="F38" s="11"/>
      <c r="G38" s="13"/>
    </row>
    <row r="39" ht="15.75" customHeight="1">
      <c r="B39" s="21" t="s">
        <v>52</v>
      </c>
      <c r="C39" s="38" t="s">
        <v>58</v>
      </c>
      <c r="D39" s="11"/>
      <c r="E39" s="11"/>
      <c r="F39" s="11"/>
      <c r="G39" s="13"/>
    </row>
    <row r="40" ht="15.75" customHeight="1"/>
    <row r="41" ht="15.75" customHeight="1">
      <c r="B41" s="42" t="s">
        <v>54</v>
      </c>
      <c r="C41" s="11"/>
      <c r="D41" s="11"/>
      <c r="E41" s="11"/>
      <c r="F41" s="11"/>
      <c r="G41" s="13"/>
    </row>
    <row r="42" ht="15.75" customHeight="1">
      <c r="B42" s="58" t="s">
        <v>59</v>
      </c>
      <c r="C42" s="46"/>
      <c r="D42" s="46"/>
      <c r="E42" s="46"/>
      <c r="F42" s="46"/>
      <c r="G42" s="48"/>
    </row>
    <row r="43" ht="49.5" customHeight="1">
      <c r="B43" s="50"/>
      <c r="C43" s="52"/>
      <c r="D43" s="52"/>
      <c r="E43" s="52"/>
      <c r="F43" s="52"/>
      <c r="G43" s="5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4" t="s">
        <v>1</v>
      </c>
    </row>
    <row r="2" ht="15.75" customHeight="1">
      <c r="A2" s="8" t="str">
        <f>C4&amp;" - "&amp;C3</f>
        <v>795 - Logica de Sitemas</v>
      </c>
      <c r="B2" s="7"/>
      <c r="C2" s="7"/>
      <c r="D2" s="7"/>
      <c r="E2" s="7"/>
    </row>
    <row r="3" ht="15.75" customHeight="1">
      <c r="B3" s="5" t="s">
        <v>4</v>
      </c>
      <c r="C3" s="16" t="str">
        <f>Competencias_actuales!F3</f>
        <v>Logica de Sitemas</v>
      </c>
      <c r="D3" s="11"/>
      <c r="E3" s="11"/>
      <c r="F3" s="11"/>
      <c r="G3" s="13"/>
    </row>
    <row r="4" ht="15.75" customHeight="1">
      <c r="B4" s="5" t="s">
        <v>5</v>
      </c>
      <c r="C4" s="16">
        <f>Competencias_actuales!A2</f>
        <v>795</v>
      </c>
      <c r="D4" s="11"/>
      <c r="E4" s="11"/>
      <c r="F4" s="11"/>
      <c r="G4" s="13"/>
    </row>
    <row r="5" ht="15.75" customHeight="1">
      <c r="B5" s="7"/>
      <c r="C5" s="7"/>
      <c r="D5" s="7"/>
      <c r="E5" s="7"/>
    </row>
    <row r="6" ht="15.75" customHeight="1">
      <c r="B6" s="24" t="s">
        <v>11</v>
      </c>
      <c r="C6" s="11"/>
      <c r="D6" s="11"/>
      <c r="E6" s="13"/>
      <c r="F6" s="21" t="s">
        <v>16</v>
      </c>
      <c r="G6" s="21" t="s">
        <v>17</v>
      </c>
    </row>
    <row r="7" ht="15.75" customHeight="1">
      <c r="B7" s="21" t="s">
        <v>19</v>
      </c>
      <c r="C7" s="21" t="s">
        <v>20</v>
      </c>
      <c r="D7" s="21" t="s">
        <v>21</v>
      </c>
      <c r="E7" s="21" t="s">
        <v>22</v>
      </c>
      <c r="F7" s="21" t="s">
        <v>23</v>
      </c>
      <c r="G7" s="21" t="s">
        <v>23</v>
      </c>
    </row>
    <row r="8" ht="15.75" customHeight="1">
      <c r="B8" s="28" t="str">
        <f>IFERROR(__xludf.DUMMYFUNCTION("QUERY(IMPORTRANGE(VLOOKUP(A2,METADA!A:B,2,FALSE), ""Diseño Curricular!B4:E500""), )"),"Identifica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8" s="28" t="str">
        <f>IFERROR(__xludf.DUMMYFUNCTION("""COMPUTED_VALUE"""),"Unidad 1: La creatividad y bloqueos mentales")</f>
        <v>Unidad 1: La creatividad y bloqueos mentales</v>
      </c>
      <c r="D8" s="28" t="str">
        <f>IFERROR(__xludf.DUMMYFUNCTION("""COMPUTED_VALUE"""),"La creatividad")</f>
        <v>La creatividad</v>
      </c>
      <c r="E8" s="28" t="str">
        <f>IFERROR(__xludf.DUMMYFUNCTION("""COMPUTED_VALUE"""),"¿Qué es la creatividad?")</f>
        <v>¿Qué es la creatividad?</v>
      </c>
      <c r="F8" s="31" t="s">
        <v>25</v>
      </c>
      <c r="G8" s="31" t="s">
        <v>27</v>
      </c>
    </row>
    <row r="9" ht="15.75" customHeight="1">
      <c r="B9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9" s="28" t="str">
        <f>IFERROR(__xludf.DUMMYFUNCTION("""COMPUTED_VALUE"""),"Unidad 1: La creatividad y bloqueos mentales")</f>
        <v>Unidad 1: La creatividad y bloqueos mentales</v>
      </c>
      <c r="D9" s="28" t="str">
        <f>IFERROR(__xludf.DUMMYFUNCTION("""COMPUTED_VALUE"""),"La creatividad")</f>
        <v>La creatividad</v>
      </c>
      <c r="E9" s="28" t="str">
        <f>IFERROR(__xludf.DUMMYFUNCTION("""COMPUTED_VALUE"""),"Pasos en la resolución de problemas")</f>
        <v>Pasos en la resolución de problemas</v>
      </c>
      <c r="F9" s="31" t="s">
        <v>25</v>
      </c>
      <c r="G9" s="31" t="s">
        <v>27</v>
      </c>
    </row>
    <row r="10" ht="15.75" customHeight="1">
      <c r="B10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0" s="28" t="str">
        <f>IFERROR(__xludf.DUMMYFUNCTION("""COMPUTED_VALUE"""),"Unidad 1: La creatividad y bloqueos mentales")</f>
        <v>Unidad 1: La creatividad y bloqueos mentales</v>
      </c>
      <c r="D10" s="28" t="str">
        <f>IFERROR(__xludf.DUMMYFUNCTION("""COMPUTED_VALUE"""),"La creatividad")</f>
        <v>La creatividad</v>
      </c>
      <c r="E10" s="28" t="str">
        <f>IFERROR(__xludf.DUMMYFUNCTION("""COMPUTED_VALUE"""),"Bloqueos mentales")</f>
        <v>Bloqueos mentales</v>
      </c>
      <c r="F10" s="31" t="s">
        <v>25</v>
      </c>
      <c r="G10" s="31" t="s">
        <v>27</v>
      </c>
    </row>
    <row r="11" ht="15.75" customHeight="1">
      <c r="B11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1" s="28" t="str">
        <f>IFERROR(__xludf.DUMMYFUNCTION("""COMPUTED_VALUE"""),"Unidad 1: La creatividad y bloqueos mentales")</f>
        <v>Unidad 1: La creatividad y bloqueos mentales</v>
      </c>
      <c r="D11" s="28" t="str">
        <f>IFERROR(__xludf.DUMMYFUNCTION("""COMPUTED_VALUE"""),"La creatividad")</f>
        <v>La creatividad</v>
      </c>
      <c r="E11" s="28" t="str">
        <f>IFERROR(__xludf.DUMMYFUNCTION("""COMPUTED_VALUE"""),"Práctica de la creatividad")</f>
        <v>Práctica de la creatividad</v>
      </c>
      <c r="F11" s="31" t="s">
        <v>25</v>
      </c>
      <c r="G11" s="31" t="s">
        <v>27</v>
      </c>
    </row>
    <row r="12" ht="15.75" customHeight="1">
      <c r="B12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2" s="28" t="str">
        <f>IFERROR(__xludf.DUMMYFUNCTION("""COMPUTED_VALUE"""),"Unidad 1: La creatividad y bloqueos mentales")</f>
        <v>Unidad 1: La creatividad y bloqueos mentales</v>
      </c>
      <c r="D12" s="28" t="str">
        <f>IFERROR(__xludf.DUMMYFUNCTION("""COMPUTED_VALUE"""),"La creatividad")</f>
        <v>La creatividad</v>
      </c>
      <c r="E12" s="28" t="str">
        <f>IFERROR(__xludf.DUMMYFUNCTION("""COMPUTED_VALUE"""),"Técnicas para producir ideas")</f>
        <v>Técnicas para producir ideas</v>
      </c>
      <c r="F12" s="31" t="s">
        <v>25</v>
      </c>
      <c r="G12" s="31" t="s">
        <v>27</v>
      </c>
    </row>
    <row r="13" ht="15.75" customHeight="1">
      <c r="B13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3" s="28" t="str">
        <f>IFERROR(__xludf.DUMMYFUNCTION("""COMPUTED_VALUE"""),"Unidad 1: La creatividad y bloqueos mentales")</f>
        <v>Unidad 1: La creatividad y bloqueos mentales</v>
      </c>
      <c r="D13" s="28" t="str">
        <f>IFERROR(__xludf.DUMMYFUNCTION("""COMPUTED_VALUE"""),"La creatividad")</f>
        <v>La creatividad</v>
      </c>
      <c r="E13" s="28" t="str">
        <f>IFERROR(__xludf.DUMMYFUNCTION("""COMPUTED_VALUE"""),"Como hacer mas eficiente la mente")</f>
        <v>Como hacer mas eficiente la mente</v>
      </c>
      <c r="F13" s="31" t="s">
        <v>25</v>
      </c>
      <c r="G13" s="31" t="s">
        <v>27</v>
      </c>
    </row>
    <row r="14" ht="15.75" customHeight="1">
      <c r="B14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4" s="28" t="str">
        <f>IFERROR(__xludf.DUMMYFUNCTION("""COMPUTED_VALUE"""),"Unidad 1: La creatividad y bloqueos mentales")</f>
        <v>Unidad 1: La creatividad y bloqueos mentales</v>
      </c>
      <c r="D14" s="28" t="str">
        <f>IFERROR(__xludf.DUMMYFUNCTION("""COMPUTED_VALUE"""),"La creatividad")</f>
        <v>La creatividad</v>
      </c>
      <c r="E14" s="28" t="str">
        <f>IFERROR(__xludf.DUMMYFUNCTION("""COMPUTED_VALUE"""),"Método para ser más eficiente ")</f>
        <v>Método para ser más eficiente </v>
      </c>
      <c r="F14" s="31" t="s">
        <v>25</v>
      </c>
      <c r="G14" s="31" t="s">
        <v>27</v>
      </c>
    </row>
    <row r="15" ht="15.75" customHeight="1">
      <c r="B15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5" s="28" t="str">
        <f>IFERROR(__xludf.DUMMYFUNCTION("""COMPUTED_VALUE"""),"Unidad 1: La creatividad y bloqueos mentales")</f>
        <v>Unidad 1: La creatividad y bloqueos mentales</v>
      </c>
      <c r="D15" s="28" t="str">
        <f>IFERROR(__xludf.DUMMYFUNCTION("""COMPUTED_VALUE"""),"Modelos Mentales")</f>
        <v>Modelos Mentales</v>
      </c>
      <c r="E15" s="28" t="str">
        <f>IFERROR(__xludf.DUMMYFUNCTION("""COMPUTED_VALUE"""),"Bloqueos perceptivos")</f>
        <v>Bloqueos perceptivos</v>
      </c>
      <c r="F15" s="31" t="s">
        <v>25</v>
      </c>
      <c r="G15" s="31" t="s">
        <v>27</v>
      </c>
    </row>
    <row r="16" ht="15.75" customHeight="1">
      <c r="B16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6" s="28" t="str">
        <f>IFERROR(__xludf.DUMMYFUNCTION("""COMPUTED_VALUE"""),"Unidad 1: La creatividad y bloqueos mentales")</f>
        <v>Unidad 1: La creatividad y bloqueos mentales</v>
      </c>
      <c r="D16" s="28" t="str">
        <f>IFERROR(__xludf.DUMMYFUNCTION("""COMPUTED_VALUE"""),"Modelos Mentales")</f>
        <v>Modelos Mentales</v>
      </c>
      <c r="E16" s="28" t="str">
        <f>IFERROR(__xludf.DUMMYFUNCTION("""COMPUTED_VALUE"""),"Bloqueos emocionales")</f>
        <v>Bloqueos emocionales</v>
      </c>
      <c r="F16" s="31" t="s">
        <v>25</v>
      </c>
      <c r="G16" s="31" t="s">
        <v>27</v>
      </c>
    </row>
    <row r="17" ht="15.75" customHeight="1">
      <c r="B17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7" s="28" t="str">
        <f>IFERROR(__xludf.DUMMYFUNCTION("""COMPUTED_VALUE"""),"Unidad 1: La creatividad y bloqueos mentales")</f>
        <v>Unidad 1: La creatividad y bloqueos mentales</v>
      </c>
      <c r="D17" s="28" t="str">
        <f>IFERROR(__xludf.DUMMYFUNCTION("""COMPUTED_VALUE"""),"Modelos Mentales")</f>
        <v>Modelos Mentales</v>
      </c>
      <c r="E17" s="28" t="str">
        <f>IFERROR(__xludf.DUMMYFUNCTION("""COMPUTED_VALUE"""),"Bloqueos culturales")</f>
        <v>Bloqueos culturales</v>
      </c>
      <c r="F17" s="31" t="s">
        <v>25</v>
      </c>
      <c r="G17" s="31" t="s">
        <v>27</v>
      </c>
    </row>
    <row r="18" ht="15.75" customHeight="1">
      <c r="B18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8" s="28" t="str">
        <f>IFERROR(__xludf.DUMMYFUNCTION("""COMPUTED_VALUE"""),"Unidad 1: La creatividad y bloqueos mentales")</f>
        <v>Unidad 1: La creatividad y bloqueos mentales</v>
      </c>
      <c r="D18" s="28" t="str">
        <f>IFERROR(__xludf.DUMMYFUNCTION("""COMPUTED_VALUE"""),"Modelos Mentales")</f>
        <v>Modelos Mentales</v>
      </c>
      <c r="E18" s="28" t="str">
        <f>IFERROR(__xludf.DUMMYFUNCTION("""COMPUTED_VALUE"""),"Bloqueos ambientales")</f>
        <v>Bloqueos ambientales</v>
      </c>
      <c r="F18" s="31" t="s">
        <v>25</v>
      </c>
      <c r="G18" s="31" t="s">
        <v>27</v>
      </c>
    </row>
    <row r="19" ht="15.75" customHeight="1">
      <c r="B19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19" s="28" t="str">
        <f>IFERROR(__xludf.DUMMYFUNCTION("""COMPUTED_VALUE"""),"Unidad 1: La creatividad y bloqueos mentales")</f>
        <v>Unidad 1: La creatividad y bloqueos mentales</v>
      </c>
      <c r="D19" s="28" t="str">
        <f>IFERROR(__xludf.DUMMYFUNCTION("""COMPUTED_VALUE"""),"Modelos Mentales")</f>
        <v>Modelos Mentales</v>
      </c>
      <c r="E19" s="28" t="str">
        <f>IFERROR(__xludf.DUMMYFUNCTION("""COMPUTED_VALUE"""),"Bloqueos intelectuales")</f>
        <v>Bloqueos intelectuales</v>
      </c>
      <c r="F19" s="31" t="s">
        <v>25</v>
      </c>
      <c r="G19" s="31" t="s">
        <v>27</v>
      </c>
    </row>
    <row r="20" ht="15.75" customHeight="1">
      <c r="B20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20" s="28" t="str">
        <f>IFERROR(__xludf.DUMMYFUNCTION("""COMPUTED_VALUE"""),"Unidad 1: La creatividad y bloqueos mentales")</f>
        <v>Unidad 1: La creatividad y bloqueos mentales</v>
      </c>
      <c r="D20" s="28" t="str">
        <f>IFERROR(__xludf.DUMMYFUNCTION("""COMPUTED_VALUE"""),"Modelos Mentales")</f>
        <v>Modelos Mentales</v>
      </c>
      <c r="E20" s="28" t="str">
        <f>IFERROR(__xludf.DUMMYFUNCTION("""COMPUTED_VALUE"""),"Bloqueos expresivos")</f>
        <v>Bloqueos expresivos</v>
      </c>
      <c r="F20" s="31" t="s">
        <v>25</v>
      </c>
      <c r="G20" s="31" t="s">
        <v>27</v>
      </c>
    </row>
    <row r="21" ht="15.75" customHeight="1">
      <c r="B21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1" s="28" t="str">
        <f>IFERROR(__xludf.DUMMYFUNCTION("""COMPUTED_VALUE"""),"Unidad 2: Lógica")</f>
        <v>Unidad 2: Lógica</v>
      </c>
      <c r="D21" s="28" t="str">
        <f>IFERROR(__xludf.DUMMYFUNCTION("""COMPUTED_VALUE"""),"Lógica")</f>
        <v>Lógica</v>
      </c>
      <c r="E21" s="28" t="str">
        <f>IFERROR(__xludf.DUMMYFUNCTION("""COMPUTED_VALUE"""),"Introducción a la Lógica")</f>
        <v>Introducción a la Lógica</v>
      </c>
      <c r="F21" s="31" t="s">
        <v>27</v>
      </c>
      <c r="G21" s="31" t="s">
        <v>27</v>
      </c>
    </row>
    <row r="22" ht="15.75" customHeight="1">
      <c r="B22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2" s="28" t="str">
        <f>IFERROR(__xludf.DUMMYFUNCTION("""COMPUTED_VALUE"""),"Unidad 2: Lógica")</f>
        <v>Unidad 2: Lógica</v>
      </c>
      <c r="D22" s="28" t="str">
        <f>IFERROR(__xludf.DUMMYFUNCTION("""COMPUTED_VALUE"""),"Lógica")</f>
        <v>Lógica</v>
      </c>
      <c r="E22" s="28" t="str">
        <f>IFERROR(__xludf.DUMMYFUNCTION("""COMPUTED_VALUE"""),"Etimologia de la Lógica")</f>
        <v>Etimologia de la Lógica</v>
      </c>
      <c r="F22" s="31" t="s">
        <v>25</v>
      </c>
      <c r="G22" s="31" t="s">
        <v>27</v>
      </c>
    </row>
    <row r="23" ht="15.75" customHeight="1">
      <c r="B23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3" s="28" t="str">
        <f>IFERROR(__xludf.DUMMYFUNCTION("""COMPUTED_VALUE"""),"Unidad 2: Lógica")</f>
        <v>Unidad 2: Lógica</v>
      </c>
      <c r="D23" s="28" t="str">
        <f>IFERROR(__xludf.DUMMYFUNCTION("""COMPUTED_VALUE"""),"Lógica")</f>
        <v>Lógica</v>
      </c>
      <c r="E23" s="28" t="str">
        <f>IFERROR(__xludf.DUMMYFUNCTION("""COMPUTED_VALUE"""),"Pensar y Razonar")</f>
        <v>Pensar y Razonar</v>
      </c>
      <c r="F23" s="31" t="s">
        <v>25</v>
      </c>
      <c r="G23" s="31" t="s">
        <v>27</v>
      </c>
    </row>
    <row r="24" ht="15.75" customHeight="1">
      <c r="B24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4" s="28" t="str">
        <f>IFERROR(__xludf.DUMMYFUNCTION("""COMPUTED_VALUE"""),"Unidad 2: Lógica")</f>
        <v>Unidad 2: Lógica</v>
      </c>
      <c r="D24" s="28" t="str">
        <f>IFERROR(__xludf.DUMMYFUNCTION("""COMPUTED_VALUE"""),"Lógica")</f>
        <v>Lógica</v>
      </c>
      <c r="E24" s="28" t="str">
        <f>IFERROR(__xludf.DUMMYFUNCTION("""COMPUTED_VALUE"""),"Razonamiento Lógico")</f>
        <v>Razonamiento Lógico</v>
      </c>
      <c r="F24" s="31" t="s">
        <v>27</v>
      </c>
      <c r="G24" s="31" t="s">
        <v>27</v>
      </c>
    </row>
    <row r="25" ht="15.75" customHeight="1">
      <c r="B25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5" s="28" t="str">
        <f>IFERROR(__xludf.DUMMYFUNCTION("""COMPUTED_VALUE"""),"Unidad 2: Lógica")</f>
        <v>Unidad 2: Lógica</v>
      </c>
      <c r="D25" s="28" t="str">
        <f>IFERROR(__xludf.DUMMYFUNCTION("""COMPUTED_VALUE"""),"Lógica")</f>
        <v>Lógica</v>
      </c>
      <c r="E25" s="28" t="str">
        <f>IFERROR(__xludf.DUMMYFUNCTION("""COMPUTED_VALUE"""),"Relación entre la Lógica y otras Ciencias")</f>
        <v>Relación entre la Lógica y otras Ciencias</v>
      </c>
      <c r="F25" s="31" t="s">
        <v>27</v>
      </c>
      <c r="G25" s="31" t="s">
        <v>27</v>
      </c>
    </row>
    <row r="26" ht="15.75" customHeight="1">
      <c r="B26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6" s="28" t="str">
        <f>IFERROR(__xludf.DUMMYFUNCTION("""COMPUTED_VALUE"""),"Unidad 2: Lógica")</f>
        <v>Unidad 2: Lógica</v>
      </c>
      <c r="D26" s="28" t="str">
        <f>IFERROR(__xludf.DUMMYFUNCTION("""COMPUTED_VALUE"""),"Lógica")</f>
        <v>Lógica</v>
      </c>
      <c r="E26" s="28" t="str">
        <f>IFERROR(__xludf.DUMMYFUNCTION("""COMPUTED_VALUE"""),"Reduccionimo Lógico")</f>
        <v>Reduccionimo Lógico</v>
      </c>
      <c r="F26" s="31" t="s">
        <v>25</v>
      </c>
      <c r="G26" s="31" t="s">
        <v>27</v>
      </c>
    </row>
    <row r="27" ht="15.75" customHeight="1">
      <c r="B27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7" s="28" t="str">
        <f>IFERROR(__xludf.DUMMYFUNCTION("""COMPUTED_VALUE"""),"Unidad 2: Lógica")</f>
        <v>Unidad 2: Lógica</v>
      </c>
      <c r="D27" s="28" t="str">
        <f>IFERROR(__xludf.DUMMYFUNCTION("""COMPUTED_VALUE"""),"Lógica")</f>
        <v>Lógica</v>
      </c>
      <c r="E27" s="28" t="str">
        <f>IFERROR(__xludf.DUMMYFUNCTION("""COMPUTED_VALUE"""),"Lógica y Psicología")</f>
        <v>Lógica y Psicología</v>
      </c>
      <c r="F27" s="31" t="s">
        <v>25</v>
      </c>
      <c r="G27" s="31" t="s">
        <v>27</v>
      </c>
    </row>
    <row r="28" ht="15.75" customHeight="1">
      <c r="B28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8" s="28" t="str">
        <f>IFERROR(__xludf.DUMMYFUNCTION("""COMPUTED_VALUE"""),"Unidad 2: Lógica")</f>
        <v>Unidad 2: Lógica</v>
      </c>
      <c r="D28" s="28" t="str">
        <f>IFERROR(__xludf.DUMMYFUNCTION("""COMPUTED_VALUE"""),"La Lógica y otras Ciencias")</f>
        <v>La Lógica y otras Ciencias</v>
      </c>
      <c r="E28" s="28" t="str">
        <f>IFERROR(__xludf.DUMMYFUNCTION("""COMPUTED_VALUE"""),"Lógica y Sociología")</f>
        <v>Lógica y Sociología</v>
      </c>
      <c r="F28" s="31" t="s">
        <v>25</v>
      </c>
      <c r="G28" s="31" t="s">
        <v>27</v>
      </c>
    </row>
    <row r="29" ht="15.75" customHeight="1">
      <c r="B29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29" s="28" t="str">
        <f>IFERROR(__xludf.DUMMYFUNCTION("""COMPUTED_VALUE"""),"Unidad 2: Lógica")</f>
        <v>Unidad 2: Lógica</v>
      </c>
      <c r="D29" s="28" t="str">
        <f>IFERROR(__xludf.DUMMYFUNCTION("""COMPUTED_VALUE"""),"La Lógica y otras Ciencias")</f>
        <v>La Lógica y otras Ciencias</v>
      </c>
      <c r="E29" s="28" t="str">
        <f>IFERROR(__xludf.DUMMYFUNCTION("""COMPUTED_VALUE"""),"Lógica y Matemáticas")</f>
        <v>Lógica y Matemáticas</v>
      </c>
      <c r="F29" s="31" t="s">
        <v>25</v>
      </c>
      <c r="G29" s="31" t="s">
        <v>27</v>
      </c>
    </row>
    <row r="30" ht="15.75" customHeight="1">
      <c r="B30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30" s="28" t="str">
        <f>IFERROR(__xludf.DUMMYFUNCTION("""COMPUTED_VALUE"""),"Unidad 2: Lógica")</f>
        <v>Unidad 2: Lógica</v>
      </c>
      <c r="D30" s="28" t="str">
        <f>IFERROR(__xludf.DUMMYFUNCTION("""COMPUTED_VALUE"""),"La Lógica y otras Ciencias")</f>
        <v>La Lógica y otras Ciencias</v>
      </c>
      <c r="E30" s="28" t="str">
        <f>IFERROR(__xludf.DUMMYFUNCTION("""COMPUTED_VALUE"""),"Lógica y Gramática")</f>
        <v>Lógica y Gramática</v>
      </c>
      <c r="F30" s="31" t="s">
        <v>25</v>
      </c>
      <c r="G30" s="31" t="s">
        <v>27</v>
      </c>
    </row>
    <row r="31" ht="15.75" customHeight="1">
      <c r="B31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31" s="28" t="str">
        <f>IFERROR(__xludf.DUMMYFUNCTION("""COMPUTED_VALUE"""),"Unidad 2: Lógica")</f>
        <v>Unidad 2: Lógica</v>
      </c>
      <c r="D31" s="28" t="str">
        <f>IFERROR(__xludf.DUMMYFUNCTION("""COMPUTED_VALUE"""),"La Lógica y otras Ciencias")</f>
        <v>La Lógica y otras Ciencias</v>
      </c>
      <c r="E31" s="28" t="str">
        <f>IFERROR(__xludf.DUMMYFUNCTION("""COMPUTED_VALUE"""),"Lógica y Filosofía")</f>
        <v>Lógica y Filosofía</v>
      </c>
      <c r="F31" s="31" t="s">
        <v>25</v>
      </c>
      <c r="G31" s="31" t="s">
        <v>27</v>
      </c>
    </row>
    <row r="32" ht="15.75" customHeight="1">
      <c r="B32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32" s="28" t="str">
        <f>IFERROR(__xludf.DUMMYFUNCTION("""COMPUTED_VALUE"""),"Unidad 2: Lógica")</f>
        <v>Unidad 2: Lógica</v>
      </c>
      <c r="D32" s="28" t="str">
        <f>IFERROR(__xludf.DUMMYFUNCTION("""COMPUTED_VALUE"""),"La Lógica y otras Ciencias")</f>
        <v>La Lógica y otras Ciencias</v>
      </c>
      <c r="E32" s="28" t="str">
        <f>IFERROR(__xludf.DUMMYFUNCTION("""COMPUTED_VALUE"""),"Definición de la Lógica como Ciencia")</f>
        <v>Definición de la Lógica como Ciencia</v>
      </c>
      <c r="F32" s="31" t="s">
        <v>27</v>
      </c>
      <c r="G32" s="31" t="s">
        <v>27</v>
      </c>
    </row>
    <row r="33" ht="15.75" customHeight="1">
      <c r="B33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33" s="28" t="str">
        <f>IFERROR(__xludf.DUMMYFUNCTION("""COMPUTED_VALUE"""),"Unidad 2: Lógica")</f>
        <v>Unidad 2: Lógica</v>
      </c>
      <c r="D33" s="28" t="str">
        <f>IFERROR(__xludf.DUMMYFUNCTION("""COMPUTED_VALUE"""),"La Lógica y otras Ciencias")</f>
        <v>La Lógica y otras Ciencias</v>
      </c>
      <c r="E33" s="28" t="str">
        <f>IFERROR(__xludf.DUMMYFUNCTION("""COMPUTED_VALUE"""),"Estructura Fundamental de la Lógica")</f>
        <v>Estructura Fundamental de la Lógica</v>
      </c>
      <c r="F33" s="31" t="s">
        <v>25</v>
      </c>
      <c r="G33" s="31" t="s">
        <v>27</v>
      </c>
    </row>
    <row r="34" ht="15.75" customHeight="1">
      <c r="B34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34" s="28" t="str">
        <f>IFERROR(__xludf.DUMMYFUNCTION("""COMPUTED_VALUE"""),"Unidad 2: Lógica")</f>
        <v>Unidad 2: Lógica</v>
      </c>
      <c r="D34" s="28" t="str">
        <f>IFERROR(__xludf.DUMMYFUNCTION("""COMPUTED_VALUE"""),"La Lógica y otras Ciencias")</f>
        <v>La Lógica y otras Ciencias</v>
      </c>
      <c r="E34" s="28" t="str">
        <f>IFERROR(__xludf.DUMMYFUNCTION("""COMPUTED_VALUE"""),"La Apofántica")</f>
        <v>La Apofántica</v>
      </c>
      <c r="F34" s="31" t="s">
        <v>25</v>
      </c>
      <c r="G34" s="31" t="s">
        <v>27</v>
      </c>
    </row>
    <row r="35" ht="15.75" customHeight="1">
      <c r="B35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35" s="28" t="str">
        <f>IFERROR(__xludf.DUMMYFUNCTION("""COMPUTED_VALUE"""),"Primer Parcial Unidad 1 y 2")</f>
        <v>Primer Parcial Unidad 1 y 2</v>
      </c>
      <c r="D35" s="28" t="str">
        <f>IFERROR(__xludf.DUMMYFUNCTION("""COMPUTED_VALUE"""),"Primer Parcial Unidad 1 y 2")</f>
        <v>Primer Parcial Unidad 1 y 2</v>
      </c>
      <c r="E35" s="28" t="str">
        <f>IFERROR(__xludf.DUMMYFUNCTION("""COMPUTED_VALUE"""),"Pasos en la resolución de problemas")</f>
        <v>Pasos en la resolución de problemas</v>
      </c>
      <c r="F35" s="31" t="s">
        <v>25</v>
      </c>
      <c r="G35" s="31" t="s">
        <v>27</v>
      </c>
    </row>
    <row r="36" ht="15.75" customHeight="1">
      <c r="B36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36" s="28" t="str">
        <f>IFERROR(__xludf.DUMMYFUNCTION("""COMPUTED_VALUE"""),"Primer Parcial Unidad 1 y 2")</f>
        <v>Primer Parcial Unidad 1 y 2</v>
      </c>
      <c r="D36" s="28" t="str">
        <f>IFERROR(__xludf.DUMMYFUNCTION("""COMPUTED_VALUE"""),"Primer Parcial Unidad 1 y 2")</f>
        <v>Primer Parcial Unidad 1 y 2</v>
      </c>
      <c r="E36" s="28" t="str">
        <f>IFERROR(__xludf.DUMMYFUNCTION("""COMPUTED_VALUE"""),"Técnicas para producir ideas")</f>
        <v>Técnicas para producir ideas</v>
      </c>
      <c r="F36" s="31" t="s">
        <v>25</v>
      </c>
      <c r="G36" s="31" t="s">
        <v>27</v>
      </c>
    </row>
    <row r="37" ht="15.75" customHeight="1">
      <c r="B37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37" s="28" t="str">
        <f>IFERROR(__xludf.DUMMYFUNCTION("""COMPUTED_VALUE"""),"Primer Parcial Unidad 1 y 2")</f>
        <v>Primer Parcial Unidad 1 y 2</v>
      </c>
      <c r="D37" s="28" t="str">
        <f>IFERROR(__xludf.DUMMYFUNCTION("""COMPUTED_VALUE"""),"Primer Parcial Unidad 1 y 2")</f>
        <v>Primer Parcial Unidad 1 y 2</v>
      </c>
      <c r="E37" s="28" t="str">
        <f>IFERROR(__xludf.DUMMYFUNCTION("""COMPUTED_VALUE"""),"Método para ser más eficiente ")</f>
        <v>Método para ser más eficiente </v>
      </c>
      <c r="F37" s="31" t="s">
        <v>25</v>
      </c>
      <c r="G37" s="31" t="s">
        <v>27</v>
      </c>
    </row>
    <row r="38" ht="15.75" customHeight="1">
      <c r="B38" s="28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C38" s="28" t="str">
        <f>IFERROR(__xludf.DUMMYFUNCTION("""COMPUTED_VALUE"""),"Primer Parcial Unidad 1 y 2")</f>
        <v>Primer Parcial Unidad 1 y 2</v>
      </c>
      <c r="D38" s="28" t="str">
        <f>IFERROR(__xludf.DUMMYFUNCTION("""COMPUTED_VALUE"""),"Primer Parcial Unidad 1 y 2")</f>
        <v>Primer Parcial Unidad 1 y 2</v>
      </c>
      <c r="E38" s="28" t="str">
        <f>IFERROR(__xludf.DUMMYFUNCTION("""COMPUTED_VALUE"""),"Bloqueos mentales")</f>
        <v>Bloqueos mentales</v>
      </c>
      <c r="F38" s="31" t="s">
        <v>25</v>
      </c>
      <c r="G38" s="31" t="s">
        <v>27</v>
      </c>
    </row>
    <row r="39" ht="15.75" customHeight="1">
      <c r="B39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39" s="28" t="str">
        <f>IFERROR(__xludf.DUMMYFUNCTION("""COMPUTED_VALUE"""),"Primer Parcial Unidad 1 y 2")</f>
        <v>Primer Parcial Unidad 1 y 2</v>
      </c>
      <c r="D39" s="28" t="str">
        <f>IFERROR(__xludf.DUMMYFUNCTION("""COMPUTED_VALUE"""),"Primer Parcial Unidad 1 y 2")</f>
        <v>Primer Parcial Unidad 1 y 2</v>
      </c>
      <c r="E39" s="28" t="str">
        <f>IFERROR(__xludf.DUMMYFUNCTION("""COMPUTED_VALUE"""),"Introducción a la Lógica")</f>
        <v>Introducción a la Lógica</v>
      </c>
      <c r="F39" s="31" t="s">
        <v>25</v>
      </c>
      <c r="G39" s="31" t="s">
        <v>27</v>
      </c>
    </row>
    <row r="40" ht="15.75" customHeight="1">
      <c r="B40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40" s="28" t="str">
        <f>IFERROR(__xludf.DUMMYFUNCTION("""COMPUTED_VALUE"""),"Primer Parcial Unidad 1 y 2")</f>
        <v>Primer Parcial Unidad 1 y 2</v>
      </c>
      <c r="D40" s="28" t="str">
        <f>IFERROR(__xludf.DUMMYFUNCTION("""COMPUTED_VALUE"""),"Primer Parcial Unidad 1 y 2")</f>
        <v>Primer Parcial Unidad 1 y 2</v>
      </c>
      <c r="E40" s="28" t="str">
        <f>IFERROR(__xludf.DUMMYFUNCTION("""COMPUTED_VALUE"""),"Razonamiento Lógico")</f>
        <v>Razonamiento Lógico</v>
      </c>
      <c r="F40" s="31" t="s">
        <v>25</v>
      </c>
      <c r="G40" s="31" t="s">
        <v>27</v>
      </c>
    </row>
    <row r="41" ht="15.75" customHeight="1">
      <c r="B41" s="28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C41" s="28" t="str">
        <f>IFERROR(__xludf.DUMMYFUNCTION("""COMPUTED_VALUE"""),"Primer Parcial Unidad 1 y 2")</f>
        <v>Primer Parcial Unidad 1 y 2</v>
      </c>
      <c r="D41" s="28" t="str">
        <f>IFERROR(__xludf.DUMMYFUNCTION("""COMPUTED_VALUE"""),"Primer Parcial Unidad 1 y 2")</f>
        <v>Primer Parcial Unidad 1 y 2</v>
      </c>
      <c r="E41" s="28" t="str">
        <f>IFERROR(__xludf.DUMMYFUNCTION("""COMPUTED_VALUE"""),"Definición de la Lógica como Ciencia")</f>
        <v>Definición de la Lógica como Ciencia</v>
      </c>
      <c r="F41" s="31" t="s">
        <v>25</v>
      </c>
      <c r="G41" s="31" t="s">
        <v>27</v>
      </c>
    </row>
    <row r="42" ht="15.75" customHeight="1">
      <c r="B42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2" s="28" t="str">
        <f>IFERROR(__xludf.DUMMYFUNCTION("""COMPUTED_VALUE"""),"Unidad 3: Lógica del Concepto")</f>
        <v>Unidad 3: Lógica del Concepto</v>
      </c>
      <c r="D42" s="28" t="str">
        <f>IFERROR(__xludf.DUMMYFUNCTION("""COMPUTED_VALUE"""),"Concepto")</f>
        <v>Concepto</v>
      </c>
      <c r="E42" s="28" t="str">
        <f>IFERROR(__xludf.DUMMYFUNCTION("""COMPUTED_VALUE"""),"Concepto y realidad")</f>
        <v>Concepto y realidad</v>
      </c>
      <c r="F42" s="31" t="s">
        <v>27</v>
      </c>
      <c r="G42" s="31" t="s">
        <v>27</v>
      </c>
    </row>
    <row r="43" ht="15.75" customHeight="1">
      <c r="B43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3" s="28" t="str">
        <f>IFERROR(__xludf.DUMMYFUNCTION("""COMPUTED_VALUE"""),"Unidad 3: Lógica del Concepto")</f>
        <v>Unidad 3: Lógica del Concepto</v>
      </c>
      <c r="D43" s="28" t="str">
        <f>IFERROR(__xludf.DUMMYFUNCTION("""COMPUTED_VALUE"""),"Concepto")</f>
        <v>Concepto</v>
      </c>
      <c r="E43" s="28" t="str">
        <f>IFERROR(__xludf.DUMMYFUNCTION("""COMPUTED_VALUE"""),"Objeto")</f>
        <v>Objeto</v>
      </c>
      <c r="F43" s="31" t="s">
        <v>27</v>
      </c>
      <c r="G43" s="31" t="s">
        <v>27</v>
      </c>
    </row>
    <row r="44" ht="15.75" customHeight="1">
      <c r="B44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4" s="28" t="str">
        <f>IFERROR(__xludf.DUMMYFUNCTION("""COMPUTED_VALUE"""),"Unidad 3: Lógica del Concepto")</f>
        <v>Unidad 3: Lógica del Concepto</v>
      </c>
      <c r="D44" s="28" t="str">
        <f>IFERROR(__xludf.DUMMYFUNCTION("""COMPUTED_VALUE"""),"Concepto")</f>
        <v>Concepto</v>
      </c>
      <c r="E44" s="28" t="str">
        <f>IFERROR(__xludf.DUMMYFUNCTION("""COMPUTED_VALUE"""),"Objetos Como dispositivos de reconocimientoi")</f>
        <v>Objetos Como dispositivos de reconocimientoi</v>
      </c>
      <c r="F44" s="31" t="s">
        <v>25</v>
      </c>
      <c r="G44" s="31" t="s">
        <v>27</v>
      </c>
    </row>
    <row r="45" ht="15.75" customHeight="1">
      <c r="B45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5" s="28" t="str">
        <f>IFERROR(__xludf.DUMMYFUNCTION("""COMPUTED_VALUE"""),"Unidad 3: Lógica del Concepto")</f>
        <v>Unidad 3: Lógica del Concepto</v>
      </c>
      <c r="D45" s="28" t="str">
        <f>IFERROR(__xludf.DUMMYFUNCTION("""COMPUTED_VALUE"""),"Concepto")</f>
        <v>Concepto</v>
      </c>
      <c r="E45" s="28" t="str">
        <f>IFERROR(__xludf.DUMMYFUNCTION("""COMPUTED_VALUE"""),"Ciclo de vida de un Objeto")</f>
        <v>Ciclo de vida de un Objeto</v>
      </c>
      <c r="F45" s="31" t="s">
        <v>25</v>
      </c>
      <c r="G45" s="31" t="s">
        <v>27</v>
      </c>
    </row>
    <row r="46" ht="15.75" customHeight="1">
      <c r="B46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6" s="28" t="str">
        <f>IFERROR(__xludf.DUMMYFUNCTION("""COMPUTED_VALUE"""),"Unidad 3: Lógica del Concepto")</f>
        <v>Unidad 3: Lógica del Concepto</v>
      </c>
      <c r="D46" s="28" t="str">
        <f>IFERROR(__xludf.DUMMYFUNCTION("""COMPUTED_VALUE"""),"Concepto")</f>
        <v>Concepto</v>
      </c>
      <c r="E46" s="28" t="str">
        <f>IFERROR(__xludf.DUMMYFUNCTION("""COMPUTED_VALUE"""),"Relaciones de objetos")</f>
        <v>Relaciones de objetos</v>
      </c>
      <c r="F46" s="31" t="s">
        <v>25</v>
      </c>
      <c r="G46" s="31" t="s">
        <v>27</v>
      </c>
    </row>
    <row r="47" ht="15.75" customHeight="1">
      <c r="B47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7" s="28" t="str">
        <f>IFERROR(__xludf.DUMMYFUNCTION("""COMPUTED_VALUE"""),"Unidad 3: Lógica del Concepto")</f>
        <v>Unidad 3: Lógica del Concepto</v>
      </c>
      <c r="D47" s="28" t="str">
        <f>IFERROR(__xludf.DUMMYFUNCTION("""COMPUTED_VALUE"""),"Concepto")</f>
        <v>Concepto</v>
      </c>
      <c r="E47" s="28" t="str">
        <f>IFERROR(__xludf.DUMMYFUNCTION("""COMPUTED_VALUE"""),"Mapeo")</f>
        <v>Mapeo</v>
      </c>
      <c r="F47" s="31" t="s">
        <v>25</v>
      </c>
      <c r="G47" s="31" t="s">
        <v>27</v>
      </c>
    </row>
    <row r="48" ht="15.75" customHeight="1">
      <c r="B48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8" s="28" t="str">
        <f>IFERROR(__xludf.DUMMYFUNCTION("""COMPUTED_VALUE"""),"Unidad 3: Lógica del Concepto")</f>
        <v>Unidad 3: Lógica del Concepto</v>
      </c>
      <c r="D48" s="28" t="str">
        <f>IFERROR(__xludf.DUMMYFUNCTION("""COMPUTED_VALUE"""),"Concepto")</f>
        <v>Concepto</v>
      </c>
      <c r="E48" s="28" t="str">
        <f>IFERROR(__xludf.DUMMYFUNCTION("""COMPUTED_VALUE"""),"Relaciones de un Objeto")</f>
        <v>Relaciones de un Objeto</v>
      </c>
      <c r="F48" s="31" t="s">
        <v>25</v>
      </c>
      <c r="G48" s="31" t="s">
        <v>27</v>
      </c>
    </row>
    <row r="49" ht="15.75" customHeight="1">
      <c r="B49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49" s="28" t="str">
        <f>IFERROR(__xludf.DUMMYFUNCTION("""COMPUTED_VALUE"""),"Unidad 3: Lógica del Concepto")</f>
        <v>Unidad 3: Lógica del Concepto</v>
      </c>
      <c r="D49" s="28" t="str">
        <f>IFERROR(__xludf.DUMMYFUNCTION("""COMPUTED_VALUE"""),"Triada del concepto y Arboles Logicos")</f>
        <v>Triada del concepto y Arboles Logicos</v>
      </c>
      <c r="E49" s="28" t="str">
        <f>IFERROR(__xludf.DUMMYFUNCTION("""COMPUTED_VALUE"""),"Caracteristicas del Concepto")</f>
        <v>Caracteristicas del Concepto</v>
      </c>
      <c r="F49" s="31" t="s">
        <v>25</v>
      </c>
      <c r="G49" s="31" t="s">
        <v>27</v>
      </c>
    </row>
    <row r="50" ht="15.75" customHeight="1">
      <c r="B50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0" s="28" t="str">
        <f>IFERROR(__xludf.DUMMYFUNCTION("""COMPUTED_VALUE"""),"Unidad 3: Lógica del Concepto")</f>
        <v>Unidad 3: Lógica del Concepto</v>
      </c>
      <c r="D50" s="28" t="str">
        <f>IFERROR(__xludf.DUMMYFUNCTION("""COMPUTED_VALUE"""),"Triada del concepto y Arboles Logicos")</f>
        <v>Triada del concepto y Arboles Logicos</v>
      </c>
      <c r="E50" s="28" t="str">
        <f>IFERROR(__xludf.DUMMYFUNCTION("""COMPUTED_VALUE"""),"La clasificacion de los objetos")</f>
        <v>La clasificacion de los objetos</v>
      </c>
      <c r="F50" s="31" t="s">
        <v>25</v>
      </c>
      <c r="G50" s="31" t="s">
        <v>27</v>
      </c>
    </row>
    <row r="51" ht="15.75" customHeight="1">
      <c r="B51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1" s="28" t="str">
        <f>IFERROR(__xludf.DUMMYFUNCTION("""COMPUTED_VALUE"""),"Unidad 3: Lógica del Concepto")</f>
        <v>Unidad 3: Lógica del Concepto</v>
      </c>
      <c r="D51" s="28" t="str">
        <f>IFERROR(__xludf.DUMMYFUNCTION("""COMPUTED_VALUE"""),"Triada del concepto y Arboles Logicos")</f>
        <v>Triada del concepto y Arboles Logicos</v>
      </c>
      <c r="E51" s="28" t="str">
        <f>IFERROR(__xludf.DUMMYFUNCTION("""COMPUTED_VALUE"""),"Triadas Parciales")</f>
        <v>Triadas Parciales</v>
      </c>
      <c r="F51" s="31" t="s">
        <v>25</v>
      </c>
      <c r="G51" s="31" t="s">
        <v>27</v>
      </c>
    </row>
    <row r="52" ht="15.75" customHeight="1">
      <c r="B52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2" s="28" t="str">
        <f>IFERROR(__xludf.DUMMYFUNCTION("""COMPUTED_VALUE"""),"Unidad 3: Lógica del Concepto")</f>
        <v>Unidad 3: Lógica del Concepto</v>
      </c>
      <c r="D52" s="28" t="str">
        <f>IFERROR(__xludf.DUMMYFUNCTION("""COMPUTED_VALUE"""),"Triada del concepto y Arboles Logicos")</f>
        <v>Triada del concepto y Arboles Logicos</v>
      </c>
      <c r="E52" s="28" t="str">
        <f>IFERROR(__xludf.DUMMYFUNCTION("""COMPUTED_VALUE"""),"Sinonimos y Homonimos")</f>
        <v>Sinonimos y Homonimos</v>
      </c>
      <c r="F52" s="31" t="s">
        <v>25</v>
      </c>
      <c r="G52" s="31" t="s">
        <v>27</v>
      </c>
    </row>
    <row r="53" ht="15.75" customHeight="1">
      <c r="B53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3" s="28" t="str">
        <f>IFERROR(__xludf.DUMMYFUNCTION("""COMPUTED_VALUE"""),"Unidad 3: Lógica del Concepto")</f>
        <v>Unidad 3: Lógica del Concepto</v>
      </c>
      <c r="D53" s="28" t="str">
        <f>IFERROR(__xludf.DUMMYFUNCTION("""COMPUTED_VALUE"""),"Triada del concepto y Arboles Logicos")</f>
        <v>Triada del concepto y Arboles Logicos</v>
      </c>
      <c r="E53" s="28" t="str">
        <f>IFERROR(__xludf.DUMMYFUNCTION("""COMPUTED_VALUE"""),"Arboles Logicos")</f>
        <v>Arboles Logicos</v>
      </c>
      <c r="F53" s="31" t="s">
        <v>27</v>
      </c>
      <c r="G53" s="31" t="s">
        <v>27</v>
      </c>
    </row>
    <row r="54" ht="15.75" customHeight="1">
      <c r="B54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4" s="28" t="str">
        <f>IFERROR(__xludf.DUMMYFUNCTION("""COMPUTED_VALUE"""),"Unidad 3: Lógica del Concepto")</f>
        <v>Unidad 3: Lógica del Concepto</v>
      </c>
      <c r="D54" s="28" t="str">
        <f>IFERROR(__xludf.DUMMYFUNCTION("""COMPUTED_VALUE"""),"Triada del concepto y Arboles Logicos")</f>
        <v>Triada del concepto y Arboles Logicos</v>
      </c>
      <c r="E54" s="28" t="str">
        <f>IFERROR(__xludf.DUMMYFUNCTION("""COMPUTED_VALUE"""),"el arbol como esquema mental")</f>
        <v>el arbol como esquema mental</v>
      </c>
      <c r="F54" s="31" t="s">
        <v>25</v>
      </c>
      <c r="G54" s="31" t="s">
        <v>27</v>
      </c>
    </row>
    <row r="55" ht="15.75" customHeight="1">
      <c r="B55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5" s="28" t="str">
        <f>IFERROR(__xludf.DUMMYFUNCTION("""COMPUTED_VALUE"""),"Unidad 4: El lenguaje y la Lógica de las proposiciones")</f>
        <v>Unidad 4: El lenguaje y la Lógica de las proposiciones</v>
      </c>
      <c r="D55" s="28" t="str">
        <f>IFERROR(__xludf.DUMMYFUNCTION("""COMPUTED_VALUE"""),"Logica de las proposiciones y logica Matematica")</f>
        <v>Logica de las proposiciones y logica Matematica</v>
      </c>
      <c r="E55" s="28" t="str">
        <f>IFERROR(__xludf.DUMMYFUNCTION("""COMPUTED_VALUE"""),"Definicion de las preposiciones")</f>
        <v>Definicion de las preposiciones</v>
      </c>
      <c r="F55" s="31" t="s">
        <v>27</v>
      </c>
      <c r="G55" s="31" t="s">
        <v>27</v>
      </c>
    </row>
    <row r="56" ht="15.75" customHeight="1">
      <c r="B56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6" s="28" t="str">
        <f>IFERROR(__xludf.DUMMYFUNCTION("""COMPUTED_VALUE"""),"Unidad 4: El lenguaje y la Lógica de las proposiciones")</f>
        <v>Unidad 4: El lenguaje y la Lógica de las proposiciones</v>
      </c>
      <c r="D56" s="28" t="str">
        <f>IFERROR(__xludf.DUMMYFUNCTION("""COMPUTED_VALUE"""),"Logica de las proposiciones y logica Matematica")</f>
        <v>Logica de las proposiciones y logica Matematica</v>
      </c>
      <c r="E56" s="28" t="str">
        <f>IFERROR(__xludf.DUMMYFUNCTION("""COMPUTED_VALUE"""),"Clasificacion de las proposiciones")</f>
        <v>Clasificacion de las proposiciones</v>
      </c>
      <c r="F56" s="31" t="s">
        <v>27</v>
      </c>
      <c r="G56" s="31" t="s">
        <v>27</v>
      </c>
    </row>
    <row r="57" ht="15.75" customHeight="1">
      <c r="B57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7" s="28" t="str">
        <f>IFERROR(__xludf.DUMMYFUNCTION("""COMPUTED_VALUE"""),"Unidad 4: El lenguaje y la Lógica de las proposiciones")</f>
        <v>Unidad 4: El lenguaje y la Lógica de las proposiciones</v>
      </c>
      <c r="D57" s="28" t="str">
        <f>IFERROR(__xludf.DUMMYFUNCTION("""COMPUTED_VALUE"""),"Logica de las proposiciones y logica Matematica")</f>
        <v>Logica de las proposiciones y logica Matematica</v>
      </c>
      <c r="E57" s="28" t="str">
        <f>IFERROR(__xludf.DUMMYFUNCTION("""COMPUTED_VALUE"""),"Simbolizacion de las proposiciones")</f>
        <v>Simbolizacion de las proposiciones</v>
      </c>
      <c r="F57" s="31" t="s">
        <v>27</v>
      </c>
      <c r="G57" s="31" t="s">
        <v>27</v>
      </c>
    </row>
    <row r="58" ht="15.75" customHeight="1">
      <c r="B58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8" s="28" t="str">
        <f>IFERROR(__xludf.DUMMYFUNCTION("""COMPUTED_VALUE"""),"Unidad 4: El lenguaje y la Lógica de las proposiciones")</f>
        <v>Unidad 4: El lenguaje y la Lógica de las proposiciones</v>
      </c>
      <c r="D58" s="28" t="str">
        <f>IFERROR(__xludf.DUMMYFUNCTION("""COMPUTED_VALUE"""),"Logica de las proposiciones y logica Matematica")</f>
        <v>Logica de las proposiciones y logica Matematica</v>
      </c>
      <c r="E58" s="28" t="str">
        <f>IFERROR(__xludf.DUMMYFUNCTION("""COMPUTED_VALUE"""),"Diagrama del arbol ")</f>
        <v>Diagrama del arbol </v>
      </c>
      <c r="F58" s="31" t="s">
        <v>27</v>
      </c>
      <c r="G58" s="31" t="s">
        <v>27</v>
      </c>
    </row>
    <row r="59" ht="15.75" customHeight="1">
      <c r="B59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59" s="28" t="str">
        <f>IFERROR(__xludf.DUMMYFUNCTION("""COMPUTED_VALUE"""),"Unidad 4: El lenguaje y la Lógica de las proposiciones")</f>
        <v>Unidad 4: El lenguaje y la Lógica de las proposiciones</v>
      </c>
      <c r="D59" s="28" t="str">
        <f>IFERROR(__xludf.DUMMYFUNCTION("""COMPUTED_VALUE"""),"Logica de las proposiciones y logica Matematica")</f>
        <v>Logica de las proposiciones y logica Matematica</v>
      </c>
      <c r="E59" s="28" t="str">
        <f>IFERROR(__xludf.DUMMYFUNCTION("""COMPUTED_VALUE"""),"Operaciones logicas")</f>
        <v>Operaciones logicas</v>
      </c>
      <c r="F59" s="31" t="s">
        <v>27</v>
      </c>
      <c r="G59" s="31" t="s">
        <v>27</v>
      </c>
    </row>
    <row r="60" ht="15.75" customHeight="1">
      <c r="B60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60" s="28" t="str">
        <f>IFERROR(__xludf.DUMMYFUNCTION("""COMPUTED_VALUE"""),"Unidad 4: El lenguaje y la Lógica de las proposiciones")</f>
        <v>Unidad 4: El lenguaje y la Lógica de las proposiciones</v>
      </c>
      <c r="D60" s="28" t="str">
        <f>IFERROR(__xludf.DUMMYFUNCTION("""COMPUTED_VALUE"""),"Logica de las proposiciones y logica Matematica")</f>
        <v>Logica de las proposiciones y logica Matematica</v>
      </c>
      <c r="E60" s="28" t="str">
        <f>IFERROR(__xludf.DUMMYFUNCTION("""COMPUTED_VALUE"""),"Clasificacion de las operaciones logicas")</f>
        <v>Clasificacion de las operaciones logicas</v>
      </c>
      <c r="F60" s="31" t="s">
        <v>25</v>
      </c>
      <c r="G60" s="31" t="s">
        <v>27</v>
      </c>
    </row>
    <row r="61" ht="15.75" customHeight="1">
      <c r="B61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61" s="28" t="str">
        <f>IFERROR(__xludf.DUMMYFUNCTION("""COMPUTED_VALUE"""),"Unidad 4: El lenguaje y la Lógica de las proposiciones")</f>
        <v>Unidad 4: El lenguaje y la Lógica de las proposiciones</v>
      </c>
      <c r="D61" s="28" t="str">
        <f>IFERROR(__xludf.DUMMYFUNCTION("""COMPUTED_VALUE"""),"Logica de las proposiciones y logica Matematica")</f>
        <v>Logica de las proposiciones y logica Matematica</v>
      </c>
      <c r="E61" s="28" t="str">
        <f>IFERROR(__xludf.DUMMYFUNCTION("""COMPUTED_VALUE"""),"Tablas de verdad")</f>
        <v>Tablas de verdad</v>
      </c>
      <c r="F61" s="31" t="s">
        <v>27</v>
      </c>
      <c r="G61" s="31" t="s">
        <v>27</v>
      </c>
    </row>
    <row r="62" ht="15.75" customHeight="1">
      <c r="B62" s="28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C62" s="28" t="str">
        <f>IFERROR(__xludf.DUMMYFUNCTION("""COMPUTED_VALUE"""),"Unidad 4: El lenguaje y la Lógica de las proposiciones")</f>
        <v>Unidad 4: El lenguaje y la Lógica de las proposiciones</v>
      </c>
      <c r="D62" s="28" t="str">
        <f>IFERROR(__xludf.DUMMYFUNCTION("""COMPUTED_VALUE"""),"El lenguaje")</f>
        <v>El lenguaje</v>
      </c>
      <c r="E62" s="28" t="str">
        <f>IFERROR(__xludf.DUMMYFUNCTION("""COMPUTED_VALUE"""),"Que es el Lenguaje")</f>
        <v>Que es el Lenguaje</v>
      </c>
      <c r="F62" s="31" t="s">
        <v>25</v>
      </c>
      <c r="G62" s="31" t="s">
        <v>27</v>
      </c>
    </row>
    <row r="63" ht="15.75" customHeight="1">
      <c r="B63" s="28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C63" s="28" t="str">
        <f>IFERROR(__xludf.DUMMYFUNCTION("""COMPUTED_VALUE"""),"Unidad 4: El lenguaje y la Lógica de las proposiciones")</f>
        <v>Unidad 4: El lenguaje y la Lógica de las proposiciones</v>
      </c>
      <c r="D63" s="28" t="str">
        <f>IFERROR(__xludf.DUMMYFUNCTION("""COMPUTED_VALUE"""),"El lenguaje")</f>
        <v>El lenguaje</v>
      </c>
      <c r="E63" s="28" t="str">
        <f>IFERROR(__xludf.DUMMYFUNCTION("""COMPUTED_VALUE"""),"Funciones del Lenguaje")</f>
        <v>Funciones del Lenguaje</v>
      </c>
      <c r="F63" s="31" t="s">
        <v>25</v>
      </c>
      <c r="G63" s="31" t="s">
        <v>27</v>
      </c>
    </row>
    <row r="64" ht="15.75" customHeight="1">
      <c r="B64" s="28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C64" s="28" t="str">
        <f>IFERROR(__xludf.DUMMYFUNCTION("""COMPUTED_VALUE"""),"Unidad 4: El lenguaje y la Lógica de las proposiciones")</f>
        <v>Unidad 4: El lenguaje y la Lógica de las proposiciones</v>
      </c>
      <c r="D64" s="28" t="str">
        <f>IFERROR(__xludf.DUMMYFUNCTION("""COMPUTED_VALUE"""),"El lenguaje")</f>
        <v>El lenguaje</v>
      </c>
      <c r="E64" s="28" t="str">
        <f>IFERROR(__xludf.DUMMYFUNCTION("""COMPUTED_VALUE"""),"Lenguaje Informativo")</f>
        <v>Lenguaje Informativo</v>
      </c>
      <c r="F64" s="31" t="s">
        <v>25</v>
      </c>
      <c r="G64" s="31" t="s">
        <v>27</v>
      </c>
    </row>
    <row r="65" ht="15.75" customHeight="1">
      <c r="B65" s="28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C65" s="28" t="str">
        <f>IFERROR(__xludf.DUMMYFUNCTION("""COMPUTED_VALUE"""),"Unidad 4: El lenguaje y la Lógica de las proposiciones")</f>
        <v>Unidad 4: El lenguaje y la Lógica de las proposiciones</v>
      </c>
      <c r="D65" s="28" t="str">
        <f>IFERROR(__xludf.DUMMYFUNCTION("""COMPUTED_VALUE"""),"El lenguaje")</f>
        <v>El lenguaje</v>
      </c>
      <c r="E65" s="28" t="str">
        <f>IFERROR(__xludf.DUMMYFUNCTION("""COMPUTED_VALUE"""),"Lenguaje Expresivo")</f>
        <v>Lenguaje Expresivo</v>
      </c>
      <c r="F65" s="31" t="s">
        <v>25</v>
      </c>
      <c r="G65" s="31" t="s">
        <v>27</v>
      </c>
    </row>
    <row r="66" ht="15.75" customHeight="1">
      <c r="B66" s="28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C66" s="28" t="str">
        <f>IFERROR(__xludf.DUMMYFUNCTION("""COMPUTED_VALUE"""),"Unidad 4: El lenguaje y la Lógica de las proposiciones")</f>
        <v>Unidad 4: El lenguaje y la Lógica de las proposiciones</v>
      </c>
      <c r="D66" s="28" t="str">
        <f>IFERROR(__xludf.DUMMYFUNCTION("""COMPUTED_VALUE"""),"El lenguaje")</f>
        <v>El lenguaje</v>
      </c>
      <c r="E66" s="28" t="str">
        <f>IFERROR(__xludf.DUMMYFUNCTION("""COMPUTED_VALUE"""),"Lenguaje Directivo")</f>
        <v>Lenguaje Directivo</v>
      </c>
      <c r="F66" s="31" t="s">
        <v>25</v>
      </c>
      <c r="G66" s="31" t="s">
        <v>27</v>
      </c>
    </row>
    <row r="67" ht="15.75" customHeight="1">
      <c r="B67" s="28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C67" s="28" t="str">
        <f>IFERROR(__xludf.DUMMYFUNCTION("""COMPUTED_VALUE"""),"Unidad 4: El lenguaje y la Lógica de las proposiciones")</f>
        <v>Unidad 4: El lenguaje y la Lógica de las proposiciones</v>
      </c>
      <c r="D67" s="28" t="str">
        <f>IFERROR(__xludf.DUMMYFUNCTION("""COMPUTED_VALUE"""),"El lenguaje")</f>
        <v>El lenguaje</v>
      </c>
      <c r="E67" s="28" t="str">
        <f>IFERROR(__xludf.DUMMYFUNCTION("""COMPUTED_VALUE"""),"Lenguaje Mixto")</f>
        <v>Lenguaje Mixto</v>
      </c>
      <c r="F67" s="31" t="s">
        <v>25</v>
      </c>
      <c r="G67" s="31" t="s">
        <v>27</v>
      </c>
    </row>
    <row r="68" ht="15.75" customHeight="1">
      <c r="B68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68" s="28" t="str">
        <f>IFERROR(__xludf.DUMMYFUNCTION("""COMPUTED_VALUE"""),"Segundo Parcial Unidades 3 y 4")</f>
        <v>Segundo Parcial Unidades 3 y 4</v>
      </c>
      <c r="D68" s="28" t="str">
        <f>IFERROR(__xludf.DUMMYFUNCTION("""COMPUTED_VALUE"""),"Segundo Parcial")</f>
        <v>Segundo Parcial</v>
      </c>
      <c r="E68" s="28" t="str">
        <f>IFERROR(__xludf.DUMMYFUNCTION("""COMPUTED_VALUE"""),"Triadas Parciales")</f>
        <v>Triadas Parciales</v>
      </c>
      <c r="F68" s="31" t="s">
        <v>25</v>
      </c>
      <c r="G68" s="31" t="s">
        <v>27</v>
      </c>
    </row>
    <row r="69" ht="15.75" customHeight="1">
      <c r="B69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69" s="28" t="str">
        <f>IFERROR(__xludf.DUMMYFUNCTION("""COMPUTED_VALUE"""),"Segundo Parcial Unidades 3 y 4")</f>
        <v>Segundo Parcial Unidades 3 y 4</v>
      </c>
      <c r="D69" s="28" t="str">
        <f>IFERROR(__xludf.DUMMYFUNCTION("""COMPUTED_VALUE"""),"Segundo Parcial")</f>
        <v>Segundo Parcial</v>
      </c>
      <c r="E69" s="28" t="str">
        <f>IFERROR(__xludf.DUMMYFUNCTION("""COMPUTED_VALUE"""),"Objetos    ")</f>
        <v>Objetos    </v>
      </c>
      <c r="F69" s="31" t="s">
        <v>25</v>
      </c>
      <c r="G69" s="31" t="s">
        <v>27</v>
      </c>
    </row>
    <row r="70" ht="15.75" customHeight="1">
      <c r="B70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70" s="28" t="str">
        <f>IFERROR(__xludf.DUMMYFUNCTION("""COMPUTED_VALUE"""),"Segundo Parcial Unidades 3 y 4")</f>
        <v>Segundo Parcial Unidades 3 y 4</v>
      </c>
      <c r="D70" s="28" t="str">
        <f>IFERROR(__xludf.DUMMYFUNCTION("""COMPUTED_VALUE"""),"Segundo Parcial")</f>
        <v>Segundo Parcial</v>
      </c>
      <c r="E70" s="28" t="str">
        <f>IFERROR(__xludf.DUMMYFUNCTION("""COMPUTED_VALUE"""),"Sinonimos Homonimos")</f>
        <v>Sinonimos Homonimos</v>
      </c>
      <c r="F70" s="31" t="s">
        <v>25</v>
      </c>
      <c r="G70" s="31" t="s">
        <v>27</v>
      </c>
    </row>
    <row r="71" ht="15.75" customHeight="1">
      <c r="B71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71" s="28" t="str">
        <f>IFERROR(__xludf.DUMMYFUNCTION("""COMPUTED_VALUE"""),"Segundo Parcial Unidades 3 y 4")</f>
        <v>Segundo Parcial Unidades 3 y 4</v>
      </c>
      <c r="D71" s="28" t="str">
        <f>IFERROR(__xludf.DUMMYFUNCTION("""COMPUTED_VALUE"""),"Segundo Parcial")</f>
        <v>Segundo Parcial</v>
      </c>
      <c r="E71" s="28" t="str">
        <f>IFERROR(__xludf.DUMMYFUNCTION("""COMPUTED_VALUE"""),"Diagrama del arbol ")</f>
        <v>Diagrama del arbol </v>
      </c>
      <c r="F71" s="31" t="s">
        <v>25</v>
      </c>
      <c r="G71" s="31" t="s">
        <v>27</v>
      </c>
    </row>
    <row r="72" ht="15.75" customHeight="1">
      <c r="B72" s="28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72" s="28" t="str">
        <f>IFERROR(__xludf.DUMMYFUNCTION("""COMPUTED_VALUE"""),"Segundo Parcial Unidades 3 y 4")</f>
        <v>Segundo Parcial Unidades 3 y 4</v>
      </c>
      <c r="D72" s="28" t="str">
        <f>IFERROR(__xludf.DUMMYFUNCTION("""COMPUTED_VALUE"""),"Segundo Parcial")</f>
        <v>Segundo Parcial</v>
      </c>
      <c r="E72" s="28" t="str">
        <f>IFERROR(__xludf.DUMMYFUNCTION("""COMPUTED_VALUE"""),"Operaciones Logicas")</f>
        <v>Operaciones Logicas</v>
      </c>
      <c r="F72" s="31" t="s">
        <v>25</v>
      </c>
      <c r="G72" s="31" t="s">
        <v>27</v>
      </c>
    </row>
    <row r="73" ht="15.75" customHeight="1">
      <c r="B73" s="72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73" s="72" t="str">
        <f>IFERROR(__xludf.DUMMYFUNCTION("""COMPUTED_VALUE"""),"Segundo Parcial Unidades 3 y 4")</f>
        <v>Segundo Parcial Unidades 3 y 4</v>
      </c>
      <c r="D73" s="72" t="str">
        <f>IFERROR(__xludf.DUMMYFUNCTION("""COMPUTED_VALUE"""),"Segundo Parcial")</f>
        <v>Segundo Parcial</v>
      </c>
      <c r="E73" s="72" t="str">
        <f>IFERROR(__xludf.DUMMYFUNCTION("""COMPUTED_VALUE"""),"Proposiciones")</f>
        <v>Proposiciones</v>
      </c>
      <c r="F73" s="31" t="s">
        <v>25</v>
      </c>
      <c r="G73" s="31" t="s">
        <v>27</v>
      </c>
    </row>
    <row r="74" ht="15.75" customHeight="1">
      <c r="B74" s="72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C74" s="72" t="str">
        <f>IFERROR(__xludf.DUMMYFUNCTION("""COMPUTED_VALUE"""),"Segundo Parcial Unidades 3 y 4")</f>
        <v>Segundo Parcial Unidades 3 y 4</v>
      </c>
      <c r="D74" s="72" t="str">
        <f>IFERROR(__xludf.DUMMYFUNCTION("""COMPUTED_VALUE"""),"Segundo Parcial")</f>
        <v>Segundo Parcial</v>
      </c>
      <c r="E74" s="72" t="str">
        <f>IFERROR(__xludf.DUMMYFUNCTION("""COMPUTED_VALUE"""),"Logica del Razonamiento")</f>
        <v>Logica del Razonamiento</v>
      </c>
      <c r="F74" s="31" t="s">
        <v>25</v>
      </c>
      <c r="G74" s="31" t="s">
        <v>27</v>
      </c>
    </row>
    <row r="75" ht="15.75" customHeight="1">
      <c r="B75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75" s="72" t="str">
        <f>IFERROR(__xludf.DUMMYFUNCTION("""COMPUTED_VALUE"""),"Unidad 5: Razonamiento y falacias")</f>
        <v>Unidad 5: Razonamiento y falacias</v>
      </c>
      <c r="D75" s="72" t="str">
        <f>IFERROR(__xludf.DUMMYFUNCTION("""COMPUTED_VALUE"""),"Razonamiento")</f>
        <v>Razonamiento</v>
      </c>
      <c r="E75" s="72" t="str">
        <f>IFERROR(__xludf.DUMMYFUNCTION("""COMPUTED_VALUE"""),"El razonamiento")</f>
        <v>El razonamiento</v>
      </c>
      <c r="F75" s="31" t="s">
        <v>25</v>
      </c>
      <c r="G75" s="31" t="s">
        <v>27</v>
      </c>
    </row>
    <row r="76" ht="15.75" customHeight="1">
      <c r="B76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76" s="72" t="str">
        <f>IFERROR(__xludf.DUMMYFUNCTION("""COMPUTED_VALUE"""),"Unidad 5: Razonamiento y falacias")</f>
        <v>Unidad 5: Razonamiento y falacias</v>
      </c>
      <c r="D76" s="72" t="str">
        <f>IFERROR(__xludf.DUMMYFUNCTION("""COMPUTED_VALUE"""),"Razonamiento")</f>
        <v>Razonamiento</v>
      </c>
      <c r="E76" s="72" t="str">
        <f>IFERROR(__xludf.DUMMYFUNCTION("""COMPUTED_VALUE"""),"Las inferencias")</f>
        <v>Las inferencias</v>
      </c>
      <c r="F76" s="73" t="s">
        <v>27</v>
      </c>
      <c r="G76" s="31" t="s">
        <v>27</v>
      </c>
    </row>
    <row r="77" ht="15.75" customHeight="1">
      <c r="B77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77" s="72" t="str">
        <f>IFERROR(__xludf.DUMMYFUNCTION("""COMPUTED_VALUE"""),"Unidad 5: Razonamiento y falacias")</f>
        <v>Unidad 5: Razonamiento y falacias</v>
      </c>
      <c r="D77" s="72" t="str">
        <f>IFERROR(__xludf.DUMMYFUNCTION("""COMPUTED_VALUE"""),"Razonamiento")</f>
        <v>Razonamiento</v>
      </c>
      <c r="E77" s="72" t="str">
        <f>IFERROR(__xludf.DUMMYFUNCTION("""COMPUTED_VALUE"""),"Razonamiento Formal e Informal")</f>
        <v>Razonamiento Formal e Informal</v>
      </c>
      <c r="F77" s="73" t="s">
        <v>27</v>
      </c>
      <c r="G77" s="31" t="s">
        <v>27</v>
      </c>
    </row>
    <row r="78" ht="15.75" customHeight="1">
      <c r="B78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78" s="72" t="str">
        <f>IFERROR(__xludf.DUMMYFUNCTION("""COMPUTED_VALUE"""),"Unidad 5: Razonamiento y falacias")</f>
        <v>Unidad 5: Razonamiento y falacias</v>
      </c>
      <c r="D78" s="72" t="str">
        <f>IFERROR(__xludf.DUMMYFUNCTION("""COMPUTED_VALUE"""),"Razonamiento")</f>
        <v>Razonamiento</v>
      </c>
      <c r="E78" s="72" t="str">
        <f>IFERROR(__xludf.DUMMYFUNCTION("""COMPUTED_VALUE"""),"La inferencia")</f>
        <v>La inferencia</v>
      </c>
      <c r="F78" s="31" t="s">
        <v>25</v>
      </c>
      <c r="G78" s="31" t="s">
        <v>27</v>
      </c>
    </row>
    <row r="79" ht="15.75" customHeight="1">
      <c r="B79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79" s="72" t="str">
        <f>IFERROR(__xludf.DUMMYFUNCTION("""COMPUTED_VALUE"""),"Unidad 5: Razonamiento y falacias")</f>
        <v>Unidad 5: Razonamiento y falacias</v>
      </c>
      <c r="D79" s="72" t="str">
        <f>IFERROR(__xludf.DUMMYFUNCTION("""COMPUTED_VALUE"""),"Razonamiento")</f>
        <v>Razonamiento</v>
      </c>
      <c r="E79" s="72" t="str">
        <f>IFERROR(__xludf.DUMMYFUNCTION("""COMPUTED_VALUE"""),"Reglas de inferencia")</f>
        <v>Reglas de inferencia</v>
      </c>
      <c r="F79" s="31" t="s">
        <v>25</v>
      </c>
      <c r="G79" s="31" t="s">
        <v>27</v>
      </c>
    </row>
    <row r="80" ht="15.75" customHeight="1">
      <c r="B80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0" s="72" t="str">
        <f>IFERROR(__xludf.DUMMYFUNCTION("""COMPUTED_VALUE"""),"Unidad 5: Razonamiento y falacias")</f>
        <v>Unidad 5: Razonamiento y falacias</v>
      </c>
      <c r="D80" s="72" t="str">
        <f>IFERROR(__xludf.DUMMYFUNCTION("""COMPUTED_VALUE"""),"Falacias")</f>
        <v>Falacias</v>
      </c>
      <c r="E80" s="72" t="str">
        <f>IFERROR(__xludf.DUMMYFUNCTION("""COMPUTED_VALUE"""),"Las falacias")</f>
        <v>Las falacias</v>
      </c>
      <c r="F80" s="31" t="s">
        <v>25</v>
      </c>
      <c r="G80" s="31" t="s">
        <v>27</v>
      </c>
    </row>
    <row r="81" ht="15.75" customHeight="1">
      <c r="B81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1" s="72" t="str">
        <f>IFERROR(__xludf.DUMMYFUNCTION("""COMPUTED_VALUE"""),"Unidad 5: Razonamiento y falacias")</f>
        <v>Unidad 5: Razonamiento y falacias</v>
      </c>
      <c r="D81" s="72" t="str">
        <f>IFERROR(__xludf.DUMMYFUNCTION("""COMPUTED_VALUE"""),"Falacias")</f>
        <v>Falacias</v>
      </c>
      <c r="E81" s="72" t="str">
        <f>IFERROR(__xludf.DUMMYFUNCTION("""COMPUTED_VALUE"""),"Falacias de Antingencia")</f>
        <v>Falacias de Antingencia</v>
      </c>
      <c r="F81" s="31" t="s">
        <v>25</v>
      </c>
      <c r="G81" s="31" t="s">
        <v>27</v>
      </c>
    </row>
    <row r="82" ht="15.75" customHeight="1">
      <c r="B82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2" s="72" t="str">
        <f>IFERROR(__xludf.DUMMYFUNCTION("""COMPUTED_VALUE"""),"Unidad 5: Razonamiento y falacias")</f>
        <v>Unidad 5: Razonamiento y falacias</v>
      </c>
      <c r="D82" s="72" t="str">
        <f>IFERROR(__xludf.DUMMYFUNCTION("""COMPUTED_VALUE"""),"Falacias")</f>
        <v>Falacias</v>
      </c>
      <c r="E82" s="72" t="str">
        <f>IFERROR(__xludf.DUMMYFUNCTION("""COMPUTED_VALUE"""),"Falacias de Ambiguedad ")</f>
        <v>Falacias de Ambiguedad </v>
      </c>
      <c r="F82" s="31" t="s">
        <v>25</v>
      </c>
      <c r="G82" s="31" t="s">
        <v>27</v>
      </c>
    </row>
    <row r="83" ht="15.75" customHeight="1">
      <c r="B83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3" s="72" t="str">
        <f>IFERROR(__xludf.DUMMYFUNCTION("""COMPUTED_VALUE"""),"Unidad 5: Razonamiento y falacias")</f>
        <v>Unidad 5: Razonamiento y falacias</v>
      </c>
      <c r="D83" s="72" t="str">
        <f>IFERROR(__xludf.DUMMYFUNCTION("""COMPUTED_VALUE"""),"Falacias")</f>
        <v>Falacias</v>
      </c>
      <c r="E83" s="72" t="str">
        <f>IFERROR(__xludf.DUMMYFUNCTION("""COMPUTED_VALUE"""),"El padre de las estrategias para solución de problemas")</f>
        <v>El padre de las estrategias para solución de problemas</v>
      </c>
      <c r="F83" s="31" t="s">
        <v>25</v>
      </c>
      <c r="G83" s="31" t="s">
        <v>27</v>
      </c>
    </row>
    <row r="84" ht="15.75" customHeight="1">
      <c r="B84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4" s="72" t="str">
        <f>IFERROR(__xludf.DUMMYFUNCTION("""COMPUTED_VALUE"""),"Unidad 5: Razonamiento y falacias")</f>
        <v>Unidad 5: Razonamiento y falacias</v>
      </c>
      <c r="D84" s="72" t="str">
        <f>IFERROR(__xludf.DUMMYFUNCTION("""COMPUTED_VALUE"""),"Falacias")</f>
        <v>Falacias</v>
      </c>
      <c r="E84" s="72" t="str">
        <f>IFERROR(__xludf.DUMMYFUNCTION("""COMPUTED_VALUE"""),"Buscar un patrón")</f>
        <v>Buscar un patrón</v>
      </c>
      <c r="F84" s="31" t="s">
        <v>25</v>
      </c>
      <c r="G84" s="31" t="s">
        <v>27</v>
      </c>
    </row>
    <row r="85" ht="15.75" customHeight="1">
      <c r="B85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5" s="72" t="str">
        <f>IFERROR(__xludf.DUMMYFUNCTION("""COMPUTED_VALUE"""),"Unidad 5: Razonamiento y falacias")</f>
        <v>Unidad 5: Razonamiento y falacias</v>
      </c>
      <c r="D85" s="72" t="str">
        <f>IFERROR(__xludf.DUMMYFUNCTION("""COMPUTED_VALUE"""),"Falacias")</f>
        <v>Falacias</v>
      </c>
      <c r="E85" s="72" t="str">
        <f>IFERROR(__xludf.DUMMYFUNCTION("""COMPUTED_VALUE"""),"Ensayo y error")</f>
        <v>Ensayo y error</v>
      </c>
      <c r="F85" s="31" t="s">
        <v>25</v>
      </c>
      <c r="G85" s="31" t="s">
        <v>27</v>
      </c>
    </row>
    <row r="86" ht="15.75" customHeight="1">
      <c r="B86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86" s="72" t="str">
        <f>IFERROR(__xludf.DUMMYFUNCTION("""COMPUTED_VALUE"""),"Unidad 5: Razonamiento y falacias")</f>
        <v>Unidad 5: Razonamiento y falacias</v>
      </c>
      <c r="D86" s="72" t="str">
        <f>IFERROR(__xludf.DUMMYFUNCTION("""COMPUTED_VALUE"""),"Falacias")</f>
        <v>Falacias</v>
      </c>
      <c r="E86" s="72" t="str">
        <f>IFERROR(__xludf.DUMMYFUNCTION("""COMPUTED_VALUE"""),"Bosquejo o diagrama")</f>
        <v>Bosquejo o diagrama</v>
      </c>
      <c r="F86" s="31" t="s">
        <v>25</v>
      </c>
      <c r="G86" s="31" t="s">
        <v>27</v>
      </c>
    </row>
    <row r="87" ht="15.75" customHeight="1">
      <c r="B87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87" s="72" t="str">
        <f>IFERROR(__xludf.DUMMYFUNCTION("""COMPUTED_VALUE"""),"Unidad 6: Modelos mentales y paradigmas")</f>
        <v>Unidad 6: Modelos mentales y paradigmas</v>
      </c>
      <c r="D87" s="72" t="str">
        <f>IFERROR(__xludf.DUMMYFUNCTION("""COMPUTED_VALUE"""),"Paradigmas")</f>
        <v>Paradigmas</v>
      </c>
      <c r="E87" s="72" t="str">
        <f>IFERROR(__xludf.DUMMYFUNCTION("""COMPUTED_VALUE"""),"¿Que es un paradigma?")</f>
        <v>¿Que es un paradigma?</v>
      </c>
      <c r="F87" s="31" t="s">
        <v>25</v>
      </c>
      <c r="G87" s="31" t="s">
        <v>27</v>
      </c>
    </row>
    <row r="88" ht="15.75" customHeight="1">
      <c r="B88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88" s="72" t="str">
        <f>IFERROR(__xludf.DUMMYFUNCTION("""COMPUTED_VALUE"""),"Unidad 6: Modelos mentales y paradigmas")</f>
        <v>Unidad 6: Modelos mentales y paradigmas</v>
      </c>
      <c r="D88" s="72" t="str">
        <f>IFERROR(__xludf.DUMMYFUNCTION("""COMPUTED_VALUE"""),"Paradigmas")</f>
        <v>Paradigmas</v>
      </c>
      <c r="E88" s="72" t="str">
        <f>IFERROR(__xludf.DUMMYFUNCTION("""COMPUTED_VALUE"""),"Características y aspectos externos e internos del ser humano que determinan los paradigmas")</f>
        <v>Características y aspectos externos e internos del ser humano que determinan los paradigmas</v>
      </c>
      <c r="F88" s="31" t="s">
        <v>25</v>
      </c>
      <c r="G88" s="31" t="s">
        <v>27</v>
      </c>
    </row>
    <row r="89" ht="15.75" customHeight="1">
      <c r="B89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89" s="72" t="str">
        <f>IFERROR(__xludf.DUMMYFUNCTION("""COMPUTED_VALUE"""),"Unidad 6: Modelos mentales y paradigmas")</f>
        <v>Unidad 6: Modelos mentales y paradigmas</v>
      </c>
      <c r="D89" s="72" t="str">
        <f>IFERROR(__xludf.DUMMYFUNCTION("""COMPUTED_VALUE"""),"Paradigmas")</f>
        <v>Paradigmas</v>
      </c>
      <c r="E89" s="72" t="str">
        <f>IFERROR(__xludf.DUMMYFUNCTION("""COMPUTED_VALUE"""),"Historia de los paradigmas")</f>
        <v>Historia de los paradigmas</v>
      </c>
      <c r="F89" s="31" t="s">
        <v>25</v>
      </c>
      <c r="G89" s="31" t="s">
        <v>27</v>
      </c>
    </row>
    <row r="90" ht="15.75" customHeight="1">
      <c r="B90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0" s="72" t="str">
        <f>IFERROR(__xludf.DUMMYFUNCTION("""COMPUTED_VALUE"""),"Unidad 6: Modelos mentales y paradigmas")</f>
        <v>Unidad 6: Modelos mentales y paradigmas</v>
      </c>
      <c r="D90" s="72" t="str">
        <f>IFERROR(__xludf.DUMMYFUNCTION("""COMPUTED_VALUE"""),"Paradigmas")</f>
        <v>Paradigmas</v>
      </c>
      <c r="E90" s="72" t="str">
        <f>IFERROR(__xludf.DUMMYFUNCTION("""COMPUTED_VALUE"""),"Consecuencia del uso de paradigmas")</f>
        <v>Consecuencia del uso de paradigmas</v>
      </c>
      <c r="F90" s="31" t="s">
        <v>25</v>
      </c>
      <c r="G90" s="31" t="s">
        <v>27</v>
      </c>
    </row>
    <row r="91" ht="15.75" customHeight="1">
      <c r="B91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1" s="72" t="str">
        <f>IFERROR(__xludf.DUMMYFUNCTION("""COMPUTED_VALUE"""),"Unidad 6: Modelos mentales y paradigmas")</f>
        <v>Unidad 6: Modelos mentales y paradigmas</v>
      </c>
      <c r="D91" s="72" t="str">
        <f>IFERROR(__xludf.DUMMYFUNCTION("""COMPUTED_VALUE"""),"Paradigmas")</f>
        <v>Paradigmas</v>
      </c>
      <c r="E91" s="72" t="str">
        <f>IFERROR(__xludf.DUMMYFUNCTION("""COMPUTED_VALUE"""),"Efecto paradigma")</f>
        <v>Efecto paradigma</v>
      </c>
      <c r="F91" s="31" t="s">
        <v>25</v>
      </c>
      <c r="G91" s="31" t="s">
        <v>27</v>
      </c>
    </row>
    <row r="92" ht="15.75" customHeight="1">
      <c r="B92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2" s="72" t="str">
        <f>IFERROR(__xludf.DUMMYFUNCTION("""COMPUTED_VALUE"""),"Unidad 6: Modelos mentales y paradigmas")</f>
        <v>Unidad 6: Modelos mentales y paradigmas</v>
      </c>
      <c r="D92" s="72" t="str">
        <f>IFERROR(__xludf.DUMMYFUNCTION("""COMPUTED_VALUE"""),"Modelos Mentales")</f>
        <v>Modelos Mentales</v>
      </c>
      <c r="E92" s="72" t="str">
        <f>IFERROR(__xludf.DUMMYFUNCTION("""COMPUTED_VALUE"""),"Imagenes multiestables")</f>
        <v>Imagenes multiestables</v>
      </c>
      <c r="F92" s="31" t="s">
        <v>25</v>
      </c>
      <c r="G92" s="31" t="s">
        <v>27</v>
      </c>
    </row>
    <row r="93" ht="15.75" customHeight="1">
      <c r="B93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3" s="72" t="str">
        <f>IFERROR(__xludf.DUMMYFUNCTION("""COMPUTED_VALUE"""),"Unidad 6: Modelos mentales y paradigmas")</f>
        <v>Unidad 6: Modelos mentales y paradigmas</v>
      </c>
      <c r="D93" s="72" t="str">
        <f>IFERROR(__xludf.DUMMYFUNCTION("""COMPUTED_VALUE"""),"Modelos Mentales")</f>
        <v>Modelos Mentales</v>
      </c>
      <c r="E93" s="72" t="str">
        <f>IFERROR(__xludf.DUMMYFUNCTION("""COMPUTED_VALUE"""),"Polisemia")</f>
        <v>Polisemia</v>
      </c>
      <c r="F93" s="31" t="s">
        <v>25</v>
      </c>
      <c r="G93" s="31" t="s">
        <v>27</v>
      </c>
    </row>
    <row r="94" ht="15.75" customHeight="1">
      <c r="B94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4" s="72" t="str">
        <f>IFERROR(__xludf.DUMMYFUNCTION("""COMPUTED_VALUE"""),"Unidad 6: Modelos mentales y paradigmas")</f>
        <v>Unidad 6: Modelos mentales y paradigmas</v>
      </c>
      <c r="D94" s="72" t="str">
        <f>IFERROR(__xludf.DUMMYFUNCTION("""COMPUTED_VALUE"""),"Modelos Mentales")</f>
        <v>Modelos Mentales</v>
      </c>
      <c r="E94" s="72" t="str">
        <f>IFERROR(__xludf.DUMMYFUNCTION("""COMPUTED_VALUE"""),"Polisemia cultural")</f>
        <v>Polisemia cultural</v>
      </c>
      <c r="F94" s="31" t="s">
        <v>25</v>
      </c>
      <c r="G94" s="31" t="s">
        <v>27</v>
      </c>
    </row>
    <row r="95" ht="15.75" customHeight="1">
      <c r="B95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5" s="72" t="str">
        <f>IFERROR(__xludf.DUMMYFUNCTION("""COMPUTED_VALUE"""),"Unidad 6: Modelos mentales y paradigmas")</f>
        <v>Unidad 6: Modelos mentales y paradigmas</v>
      </c>
      <c r="D95" s="72" t="str">
        <f>IFERROR(__xludf.DUMMYFUNCTION("""COMPUTED_VALUE"""),"Modelos Mentales")</f>
        <v>Modelos Mentales</v>
      </c>
      <c r="E95" s="72" t="str">
        <f>IFERROR(__xludf.DUMMYFUNCTION("""COMPUTED_VALUE"""),"La certeza")</f>
        <v>La certeza</v>
      </c>
      <c r="F95" s="31" t="s">
        <v>25</v>
      </c>
      <c r="G95" s="31" t="s">
        <v>27</v>
      </c>
    </row>
    <row r="96" ht="15.75" customHeight="1">
      <c r="B96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96" s="72" t="str">
        <f>IFERROR(__xludf.DUMMYFUNCTION("""COMPUTED_VALUE"""),"Unidad 6: Modelos mentales y paradigmas")</f>
        <v>Unidad 6: Modelos mentales y paradigmas</v>
      </c>
      <c r="D96" s="72" t="str">
        <f>IFERROR(__xludf.DUMMYFUNCTION("""COMPUTED_VALUE"""),"Modelos Mentales")</f>
        <v>Modelos Mentales</v>
      </c>
      <c r="E96" s="72" t="str">
        <f>IFERROR(__xludf.DUMMYFUNCTION("""COMPUTED_VALUE"""),"El humor")</f>
        <v>El humor</v>
      </c>
      <c r="F96" s="31" t="s">
        <v>25</v>
      </c>
      <c r="G96" s="31" t="s">
        <v>27</v>
      </c>
    </row>
    <row r="97" ht="15.75" customHeight="1">
      <c r="B97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97" s="72" t="str">
        <f>IFERROR(__xludf.DUMMYFUNCTION("""COMPUTED_VALUE"""),"Tercer Parcial Unidad 5 y 6")</f>
        <v>Tercer Parcial Unidad 5 y 6</v>
      </c>
      <c r="D97" s="72" t="str">
        <f>IFERROR(__xludf.DUMMYFUNCTION("""COMPUTED_VALUE"""),"Tercer Parcial Unidad 5 y 6")</f>
        <v>Tercer Parcial Unidad 5 y 6</v>
      </c>
      <c r="E97" s="72" t="str">
        <f>IFERROR(__xludf.DUMMYFUNCTION("""COMPUTED_VALUE"""),"Falacias")</f>
        <v>Falacias</v>
      </c>
      <c r="F97" s="31" t="s">
        <v>25</v>
      </c>
      <c r="G97" s="31" t="s">
        <v>27</v>
      </c>
    </row>
    <row r="98" ht="15.75" customHeight="1">
      <c r="B98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98" s="72" t="str">
        <f>IFERROR(__xludf.DUMMYFUNCTION("""COMPUTED_VALUE"""),"Tercer Parcial Unidad 5 y 6")</f>
        <v>Tercer Parcial Unidad 5 y 6</v>
      </c>
      <c r="D98" s="72" t="str">
        <f>IFERROR(__xludf.DUMMYFUNCTION("""COMPUTED_VALUE"""),"Tercer Parcial Unidad 5 y 6")</f>
        <v>Tercer Parcial Unidad 5 y 6</v>
      </c>
      <c r="E98" s="72" t="str">
        <f>IFERROR(__xludf.DUMMYFUNCTION("""COMPUTED_VALUE"""),"Razonamiento formal e informal")</f>
        <v>Razonamiento formal e informal</v>
      </c>
      <c r="F98" s="31" t="s">
        <v>25</v>
      </c>
      <c r="G98" s="31" t="s">
        <v>27</v>
      </c>
    </row>
    <row r="99" ht="15.75" customHeight="1">
      <c r="B99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99" s="72" t="str">
        <f>IFERROR(__xludf.DUMMYFUNCTION("""COMPUTED_VALUE"""),"Tercer Parcial Unidad 5 y 6")</f>
        <v>Tercer Parcial Unidad 5 y 6</v>
      </c>
      <c r="D99" s="72" t="str">
        <f>IFERROR(__xludf.DUMMYFUNCTION("""COMPUTED_VALUE"""),"Tercer Parcial Unidad 5 y 6")</f>
        <v>Tercer Parcial Unidad 5 y 6</v>
      </c>
      <c r="E99" s="72" t="str">
        <f>IFERROR(__xludf.DUMMYFUNCTION("""COMPUTED_VALUE"""),"Las falacias")</f>
        <v>Las falacias</v>
      </c>
      <c r="F99" s="31" t="s">
        <v>25</v>
      </c>
      <c r="G99" s="31" t="s">
        <v>27</v>
      </c>
    </row>
    <row r="100" ht="15.75" customHeight="1">
      <c r="B100" s="72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C100" s="72" t="str">
        <f>IFERROR(__xludf.DUMMYFUNCTION("""COMPUTED_VALUE"""),"Tercer Parcial Unidad 5 y 6")</f>
        <v>Tercer Parcial Unidad 5 y 6</v>
      </c>
      <c r="D100" s="72" t="str">
        <f>IFERROR(__xludf.DUMMYFUNCTION("""COMPUTED_VALUE"""),"Tercer Parcial Unidad 5 y 6")</f>
        <v>Tercer Parcial Unidad 5 y 6</v>
      </c>
      <c r="E100" s="72" t="str">
        <f>IFERROR(__xludf.DUMMYFUNCTION("""COMPUTED_VALUE"""),"Caracteristicas y aspectos extennos e internos de los paradigmas")</f>
        <v>Caracteristicas y aspectos extennos e internos de los paradigmas</v>
      </c>
      <c r="F100" s="31" t="s">
        <v>25</v>
      </c>
      <c r="G100" s="31" t="s">
        <v>27</v>
      </c>
    </row>
    <row r="101" ht="15.75" customHeight="1">
      <c r="B101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101" s="72" t="str">
        <f>IFERROR(__xludf.DUMMYFUNCTION("""COMPUTED_VALUE"""),"Tercer Parcial Unidad 5 y 6")</f>
        <v>Tercer Parcial Unidad 5 y 6</v>
      </c>
      <c r="D101" s="72" t="str">
        <f>IFERROR(__xludf.DUMMYFUNCTION("""COMPUTED_VALUE"""),"Tercer Parcial Unidad 5 y 6")</f>
        <v>Tercer Parcial Unidad 5 y 6</v>
      </c>
      <c r="E101" s="72" t="str">
        <f>IFERROR(__xludf.DUMMYFUNCTION("""COMPUTED_VALUE"""),"Uso de paradigmas")</f>
        <v>Uso de paradigmas</v>
      </c>
      <c r="F101" s="31" t="s">
        <v>25</v>
      </c>
      <c r="G101" s="31" t="s">
        <v>27</v>
      </c>
    </row>
    <row r="102" ht="15.75" customHeight="1">
      <c r="B102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102" s="72" t="str">
        <f>IFERROR(__xludf.DUMMYFUNCTION("""COMPUTED_VALUE"""),"Tercer Parcial Unidad 5 y 6")</f>
        <v>Tercer Parcial Unidad 5 y 6</v>
      </c>
      <c r="D102" s="72" t="str">
        <f>IFERROR(__xludf.DUMMYFUNCTION("""COMPUTED_VALUE"""),"Tercer Parcial Unidad 5 y 6")</f>
        <v>Tercer Parcial Unidad 5 y 6</v>
      </c>
      <c r="E102" s="72" t="str">
        <f>IFERROR(__xludf.DUMMYFUNCTION("""COMPUTED_VALUE"""),"Efecto paradigma")</f>
        <v>Efecto paradigma</v>
      </c>
      <c r="F102" s="31" t="s">
        <v>25</v>
      </c>
      <c r="G102" s="31" t="s">
        <v>27</v>
      </c>
    </row>
    <row r="103" ht="15.75" customHeight="1">
      <c r="B103" s="72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C103" s="72" t="str">
        <f>IFERROR(__xludf.DUMMYFUNCTION("""COMPUTED_VALUE"""),"Tercer Parcial Unidad 5 y 6")</f>
        <v>Tercer Parcial Unidad 5 y 6</v>
      </c>
      <c r="D103" s="72" t="str">
        <f>IFERROR(__xludf.DUMMYFUNCTION("""COMPUTED_VALUE"""),"Tercer Parcial Unidad 5 y 6")</f>
        <v>Tercer Parcial Unidad 5 y 6</v>
      </c>
      <c r="E103" s="72" t="str">
        <f>IFERROR(__xludf.DUMMYFUNCTION("""COMPUTED_VALUE"""),"Polisemia")</f>
        <v>Polisemia</v>
      </c>
      <c r="F103" s="31" t="s">
        <v>25</v>
      </c>
      <c r="G103" s="31" t="s">
        <v>27</v>
      </c>
    </row>
    <row r="104" ht="15.75" customHeight="1">
      <c r="B104" s="7"/>
      <c r="C104" s="7"/>
      <c r="D104" s="7"/>
      <c r="E104" s="7"/>
      <c r="G104" s="31"/>
    </row>
    <row r="105" ht="15.75" customHeight="1">
      <c r="B105" s="7"/>
      <c r="C105" s="7"/>
      <c r="D105" s="7"/>
      <c r="E105" s="7"/>
    </row>
    <row r="106" ht="15.75" customHeight="1">
      <c r="B106" s="7"/>
      <c r="C106" s="7"/>
      <c r="D106" s="7"/>
      <c r="E106" s="7"/>
    </row>
    <row r="107" ht="15.75" customHeight="1">
      <c r="B107" s="7"/>
      <c r="C107" s="7"/>
      <c r="D107" s="7"/>
      <c r="E107" s="7"/>
    </row>
    <row r="108" ht="15.75" customHeight="1">
      <c r="B108" s="7"/>
      <c r="C108" s="7"/>
      <c r="D108" s="7"/>
      <c r="E108" s="7"/>
    </row>
    <row r="109" ht="15.75" customHeight="1">
      <c r="B109" s="7"/>
      <c r="C109" s="7"/>
      <c r="D109" s="7"/>
      <c r="E109" s="7"/>
    </row>
    <row r="110" ht="15.75" customHeight="1">
      <c r="B110" s="7"/>
      <c r="C110" s="7"/>
      <c r="D110" s="7"/>
      <c r="E110" s="7"/>
    </row>
    <row r="111" ht="15.75" customHeight="1">
      <c r="B111" s="7"/>
      <c r="C111" s="7"/>
      <c r="D111" s="7"/>
      <c r="E111" s="7"/>
    </row>
    <row r="112" ht="15.75" customHeight="1">
      <c r="B112" s="7"/>
      <c r="C112" s="7"/>
      <c r="D112" s="7"/>
      <c r="E112" s="7"/>
    </row>
    <row r="113" ht="15.75" customHeight="1">
      <c r="B113" s="7"/>
      <c r="C113" s="7"/>
      <c r="D113" s="7"/>
      <c r="E113" s="7"/>
    </row>
    <row r="114" ht="15.75" customHeight="1">
      <c r="B114" s="7"/>
      <c r="C114" s="7"/>
      <c r="D114" s="7"/>
      <c r="E114" s="7"/>
    </row>
    <row r="115" ht="15.75" customHeight="1">
      <c r="B115" s="7"/>
      <c r="C115" s="7"/>
      <c r="D115" s="7"/>
      <c r="E115" s="7"/>
    </row>
    <row r="116" ht="15.75" customHeight="1">
      <c r="B116" s="7"/>
      <c r="C116" s="7"/>
      <c r="D116" s="7"/>
      <c r="E116" s="7"/>
    </row>
    <row r="117" ht="15.75" customHeight="1">
      <c r="B117" s="7"/>
      <c r="C117" s="7"/>
      <c r="D117" s="7"/>
      <c r="E117" s="7"/>
    </row>
    <row r="118" ht="15.75" customHeight="1">
      <c r="B118" s="7"/>
      <c r="C118" s="7"/>
      <c r="D118" s="7"/>
      <c r="E118" s="7"/>
    </row>
    <row r="119" ht="15.75" customHeight="1">
      <c r="B119" s="7"/>
      <c r="C119" s="7"/>
      <c r="D119" s="7"/>
      <c r="E119" s="7"/>
    </row>
    <row r="120" ht="15.75" customHeight="1">
      <c r="B120" s="7"/>
      <c r="C120" s="7"/>
      <c r="D120" s="7"/>
      <c r="E120" s="7"/>
    </row>
    <row r="121" ht="15.75" customHeight="1">
      <c r="B121" s="7"/>
      <c r="C121" s="7"/>
      <c r="D121" s="7"/>
      <c r="E121" s="7"/>
    </row>
    <row r="122" ht="15.75" customHeight="1">
      <c r="B122" s="7"/>
      <c r="C122" s="7"/>
      <c r="D122" s="7"/>
      <c r="E122" s="7"/>
    </row>
    <row r="123" ht="15.75" customHeight="1">
      <c r="B123" s="7"/>
      <c r="C123" s="7"/>
      <c r="D123" s="7"/>
      <c r="E123" s="7"/>
    </row>
    <row r="124" ht="15.75" customHeight="1">
      <c r="B124" s="7"/>
      <c r="C124" s="7"/>
      <c r="D124" s="7"/>
      <c r="E124" s="7"/>
    </row>
    <row r="125" ht="15.75" customHeight="1">
      <c r="B125" s="7"/>
      <c r="C125" s="7"/>
      <c r="D125" s="7"/>
      <c r="E125" s="7"/>
    </row>
    <row r="126" ht="15.75" customHeight="1">
      <c r="B126" s="7"/>
      <c r="C126" s="7"/>
      <c r="D126" s="7"/>
      <c r="E126" s="7"/>
    </row>
    <row r="127" ht="15.75" customHeight="1">
      <c r="B127" s="7"/>
      <c r="C127" s="7"/>
      <c r="D127" s="7"/>
      <c r="E127" s="7"/>
    </row>
    <row r="128" ht="15.75" customHeight="1">
      <c r="B128" s="7"/>
      <c r="C128" s="7"/>
      <c r="D128" s="7"/>
      <c r="E128" s="7"/>
    </row>
    <row r="129" ht="15.75" customHeight="1">
      <c r="B129" s="7"/>
      <c r="C129" s="7"/>
      <c r="D129" s="7"/>
      <c r="E129" s="7"/>
    </row>
    <row r="130" ht="15.75" customHeight="1">
      <c r="B130" s="7"/>
      <c r="C130" s="7"/>
      <c r="D130" s="7"/>
      <c r="E130" s="7"/>
    </row>
    <row r="131" ht="15.75" customHeight="1">
      <c r="B131" s="7"/>
      <c r="C131" s="7"/>
      <c r="D131" s="7"/>
      <c r="E131" s="7"/>
    </row>
    <row r="132" ht="15.75" customHeight="1">
      <c r="B132" s="7"/>
      <c r="C132" s="7"/>
      <c r="D132" s="7"/>
      <c r="E132" s="7"/>
    </row>
    <row r="133" ht="15.75" customHeight="1">
      <c r="B133" s="7"/>
      <c r="C133" s="7"/>
      <c r="D133" s="7"/>
      <c r="E133" s="7"/>
    </row>
    <row r="134" ht="15.75" customHeight="1">
      <c r="B134" s="7"/>
      <c r="C134" s="7"/>
      <c r="D134" s="7"/>
      <c r="E134" s="7"/>
    </row>
    <row r="135" ht="15.75" customHeight="1">
      <c r="B135" s="7"/>
      <c r="C135" s="7"/>
      <c r="D135" s="7"/>
      <c r="E135" s="7"/>
    </row>
    <row r="136" ht="15.75" customHeight="1">
      <c r="B136" s="7"/>
      <c r="C136" s="7"/>
      <c r="D136" s="7"/>
      <c r="E136" s="7"/>
    </row>
    <row r="137" ht="15.75" customHeight="1">
      <c r="B137" s="7"/>
      <c r="C137" s="7"/>
      <c r="D137" s="7"/>
      <c r="E137" s="7"/>
    </row>
    <row r="138" ht="15.75" customHeight="1">
      <c r="B138" s="7"/>
      <c r="C138" s="7"/>
      <c r="D138" s="7"/>
      <c r="E138" s="7"/>
    </row>
    <row r="139" ht="15.75" customHeight="1">
      <c r="B139" s="7"/>
      <c r="C139" s="7"/>
      <c r="D139" s="7"/>
      <c r="E139" s="7"/>
    </row>
    <row r="140" ht="15.75" customHeight="1">
      <c r="B140" s="7"/>
      <c r="C140" s="7"/>
      <c r="D140" s="7"/>
      <c r="E140" s="7"/>
    </row>
    <row r="141" ht="15.75" customHeight="1">
      <c r="B141" s="7"/>
      <c r="C141" s="7"/>
      <c r="D141" s="7"/>
      <c r="E141" s="7"/>
    </row>
    <row r="142" ht="15.75" customHeight="1">
      <c r="B142" s="7"/>
      <c r="C142" s="7"/>
      <c r="D142" s="7"/>
      <c r="E142" s="7"/>
    </row>
    <row r="143" ht="15.75" customHeight="1">
      <c r="B143" s="7"/>
      <c r="C143" s="7"/>
      <c r="D143" s="7"/>
      <c r="E143" s="7"/>
    </row>
    <row r="144" ht="15.75" customHeight="1">
      <c r="B144" s="7"/>
      <c r="C144" s="7"/>
      <c r="D144" s="7"/>
      <c r="E144" s="7"/>
    </row>
    <row r="145" ht="15.75" customHeight="1">
      <c r="B145" s="7"/>
      <c r="C145" s="7"/>
      <c r="D145" s="7"/>
      <c r="E145" s="7"/>
    </row>
    <row r="146" ht="15.75" customHeight="1">
      <c r="B146" s="7"/>
      <c r="C146" s="7"/>
      <c r="D146" s="7"/>
      <c r="E146" s="7"/>
    </row>
    <row r="147" ht="15.75" customHeight="1">
      <c r="B147" s="7"/>
      <c r="C147" s="7"/>
      <c r="D147" s="7"/>
      <c r="E147" s="7"/>
    </row>
    <row r="148" ht="15.75" customHeight="1">
      <c r="B148" s="7"/>
      <c r="C148" s="7"/>
      <c r="D148" s="7"/>
      <c r="E148" s="7"/>
    </row>
    <row r="149" ht="15.75" customHeight="1">
      <c r="B149" s="7"/>
      <c r="C149" s="7"/>
      <c r="D149" s="7"/>
      <c r="E149" s="7"/>
    </row>
    <row r="150" ht="15.75" customHeight="1">
      <c r="B150" s="7"/>
      <c r="C150" s="7"/>
      <c r="D150" s="7"/>
      <c r="E150" s="7"/>
    </row>
    <row r="151" ht="15.75" customHeight="1">
      <c r="B151" s="7"/>
      <c r="C151" s="7"/>
      <c r="D151" s="7"/>
      <c r="E151" s="7"/>
    </row>
    <row r="152" ht="15.75" customHeight="1">
      <c r="B152" s="7"/>
      <c r="C152" s="7"/>
      <c r="D152" s="7"/>
      <c r="E152" s="7"/>
    </row>
    <row r="153" ht="15.75" customHeight="1">
      <c r="B153" s="7"/>
      <c r="C153" s="7"/>
      <c r="D153" s="7"/>
      <c r="E153" s="7"/>
    </row>
    <row r="154" ht="15.75" customHeight="1">
      <c r="B154" s="7"/>
      <c r="C154" s="7"/>
      <c r="D154" s="7"/>
      <c r="E154" s="7"/>
    </row>
    <row r="155" ht="15.75" customHeight="1">
      <c r="B155" s="7"/>
      <c r="C155" s="7"/>
      <c r="D155" s="7"/>
      <c r="E155" s="7"/>
    </row>
    <row r="156" ht="15.75" customHeight="1">
      <c r="B156" s="7"/>
      <c r="C156" s="7"/>
      <c r="D156" s="7"/>
      <c r="E156" s="7"/>
    </row>
    <row r="157" ht="15.75" customHeight="1">
      <c r="B157" s="7"/>
      <c r="C157" s="7"/>
      <c r="D157" s="7"/>
      <c r="E157" s="7"/>
    </row>
    <row r="158" ht="15.75" customHeight="1">
      <c r="B158" s="7"/>
      <c r="C158" s="7"/>
      <c r="D158" s="7"/>
      <c r="E158" s="7"/>
    </row>
    <row r="159" ht="15.75" customHeight="1">
      <c r="B159" s="7"/>
      <c r="C159" s="7"/>
      <c r="D159" s="7"/>
      <c r="E159" s="7"/>
    </row>
    <row r="160" ht="15.75" customHeight="1">
      <c r="B160" s="7"/>
      <c r="C160" s="7"/>
      <c r="D160" s="7"/>
      <c r="E160" s="7"/>
    </row>
    <row r="161" ht="15.75" customHeight="1">
      <c r="B161" s="7"/>
      <c r="C161" s="7"/>
      <c r="D161" s="7"/>
      <c r="E161" s="7"/>
    </row>
    <row r="162" ht="15.75" customHeight="1">
      <c r="B162" s="7"/>
      <c r="C162" s="7"/>
      <c r="D162" s="7"/>
      <c r="E162" s="7"/>
    </row>
    <row r="163" ht="15.75" customHeight="1">
      <c r="B163" s="7"/>
      <c r="C163" s="7"/>
      <c r="D163" s="7"/>
      <c r="E163" s="7"/>
    </row>
    <row r="164" ht="15.75" customHeight="1">
      <c r="B164" s="7"/>
      <c r="C164" s="7"/>
      <c r="D164" s="7"/>
      <c r="E164" s="7"/>
    </row>
    <row r="165" ht="15.75" customHeight="1">
      <c r="B165" s="7"/>
      <c r="C165" s="7"/>
      <c r="D165" s="7"/>
      <c r="E165" s="7"/>
    </row>
    <row r="166" ht="15.75" customHeight="1">
      <c r="B166" s="7"/>
      <c r="C166" s="7"/>
      <c r="D166" s="7"/>
      <c r="E166" s="7"/>
    </row>
    <row r="167" ht="15.75" customHeight="1">
      <c r="B167" s="7"/>
      <c r="C167" s="7"/>
      <c r="D167" s="7"/>
      <c r="E167" s="7"/>
    </row>
    <row r="168" ht="15.75" customHeight="1">
      <c r="B168" s="7"/>
      <c r="C168" s="7"/>
      <c r="D168" s="7"/>
      <c r="E168" s="7"/>
    </row>
    <row r="169" ht="15.75" customHeight="1">
      <c r="B169" s="7"/>
      <c r="C169" s="7"/>
      <c r="D169" s="7"/>
      <c r="E169" s="7"/>
    </row>
    <row r="170" ht="15.75" customHeight="1">
      <c r="B170" s="7"/>
      <c r="C170" s="7"/>
      <c r="D170" s="7"/>
      <c r="E170" s="7"/>
    </row>
    <row r="171" ht="15.75" customHeight="1">
      <c r="B171" s="7"/>
      <c r="C171" s="7"/>
      <c r="D171" s="7"/>
      <c r="E171" s="7"/>
    </row>
    <row r="172" ht="15.75" customHeight="1">
      <c r="B172" s="7"/>
      <c r="C172" s="7"/>
      <c r="D172" s="7"/>
      <c r="E172" s="7"/>
    </row>
    <row r="173" ht="15.75" customHeight="1">
      <c r="B173" s="7"/>
      <c r="C173" s="7"/>
      <c r="D173" s="7"/>
      <c r="E173" s="7"/>
    </row>
    <row r="174" ht="15.75" customHeight="1">
      <c r="B174" s="7"/>
      <c r="C174" s="7"/>
      <c r="D174" s="7"/>
      <c r="E174" s="7"/>
    </row>
    <row r="175" ht="15.75" customHeight="1">
      <c r="B175" s="7"/>
      <c r="C175" s="7"/>
      <c r="D175" s="7"/>
      <c r="E175" s="7"/>
    </row>
    <row r="176" ht="15.75" customHeight="1">
      <c r="B176" s="7"/>
      <c r="C176" s="7"/>
      <c r="D176" s="7"/>
      <c r="E176" s="7"/>
    </row>
    <row r="177" ht="15.75" customHeight="1">
      <c r="B177" s="7"/>
      <c r="C177" s="7"/>
      <c r="D177" s="7"/>
      <c r="E177" s="7"/>
    </row>
    <row r="178" ht="15.75" customHeight="1">
      <c r="B178" s="7"/>
      <c r="C178" s="7"/>
      <c r="D178" s="7"/>
      <c r="E178" s="7"/>
    </row>
    <row r="179" ht="15.75" customHeight="1">
      <c r="B179" s="7"/>
      <c r="C179" s="7"/>
      <c r="D179" s="7"/>
      <c r="E179" s="7"/>
    </row>
    <row r="180" ht="15.75" customHeight="1">
      <c r="B180" s="7"/>
      <c r="C180" s="7"/>
      <c r="D180" s="7"/>
      <c r="E180" s="7"/>
    </row>
    <row r="181" ht="15.75" customHeight="1">
      <c r="B181" s="7"/>
      <c r="C181" s="7"/>
      <c r="D181" s="7"/>
      <c r="E181" s="7"/>
    </row>
    <row r="182" ht="15.75" customHeight="1">
      <c r="B182" s="7"/>
      <c r="C182" s="7"/>
      <c r="D182" s="7"/>
      <c r="E182" s="7"/>
    </row>
    <row r="183" ht="15.75" customHeight="1">
      <c r="B183" s="7"/>
      <c r="C183" s="7"/>
      <c r="D183" s="7"/>
      <c r="E183" s="7"/>
    </row>
    <row r="184" ht="15.75" customHeight="1">
      <c r="B184" s="7"/>
      <c r="C184" s="7"/>
      <c r="D184" s="7"/>
      <c r="E184" s="7"/>
    </row>
    <row r="185" ht="15.75" customHeight="1">
      <c r="B185" s="7"/>
      <c r="C185" s="7"/>
      <c r="D185" s="7"/>
      <c r="E185" s="7"/>
    </row>
    <row r="186" ht="15.75" customHeight="1">
      <c r="B186" s="7"/>
      <c r="C186" s="7"/>
      <c r="D186" s="7"/>
      <c r="E186" s="7"/>
    </row>
    <row r="187" ht="15.75" customHeight="1">
      <c r="B187" s="7"/>
      <c r="C187" s="7"/>
      <c r="D187" s="7"/>
      <c r="E187" s="7"/>
    </row>
    <row r="188" ht="15.75" customHeight="1">
      <c r="B188" s="7"/>
      <c r="C188" s="7"/>
      <c r="D188" s="7"/>
      <c r="E188" s="7"/>
    </row>
    <row r="189" ht="15.75" customHeight="1">
      <c r="B189" s="7"/>
      <c r="C189" s="7"/>
      <c r="D189" s="7"/>
      <c r="E189" s="7"/>
    </row>
    <row r="190" ht="15.75" customHeight="1">
      <c r="B190" s="7"/>
      <c r="C190" s="7"/>
      <c r="D190" s="7"/>
      <c r="E190" s="7"/>
    </row>
    <row r="191" ht="15.75" customHeight="1">
      <c r="B191" s="7"/>
      <c r="C191" s="7"/>
      <c r="D191" s="7"/>
      <c r="E191" s="7"/>
    </row>
    <row r="192" ht="15.75" customHeight="1">
      <c r="B192" s="7"/>
      <c r="C192" s="7"/>
      <c r="D192" s="7"/>
      <c r="E192" s="7"/>
    </row>
    <row r="193" ht="15.75" customHeight="1">
      <c r="B193" s="7"/>
      <c r="C193" s="7"/>
      <c r="D193" s="7"/>
      <c r="E193" s="7"/>
    </row>
    <row r="194" ht="15.75" customHeight="1">
      <c r="B194" s="7"/>
      <c r="C194" s="7"/>
      <c r="D194" s="7"/>
      <c r="E194" s="7"/>
    </row>
    <row r="195" ht="15.75" customHeight="1">
      <c r="B195" s="7"/>
      <c r="C195" s="7"/>
      <c r="D195" s="7"/>
      <c r="E195" s="7"/>
    </row>
    <row r="196" ht="15.75" customHeight="1">
      <c r="B196" s="7"/>
      <c r="C196" s="7"/>
      <c r="D196" s="7"/>
      <c r="E196" s="7"/>
    </row>
    <row r="197" ht="15.75" customHeight="1">
      <c r="B197" s="7"/>
      <c r="C197" s="7"/>
      <c r="D197" s="7"/>
      <c r="E197" s="7"/>
    </row>
    <row r="198" ht="15.75" customHeight="1">
      <c r="B198" s="7"/>
      <c r="C198" s="7"/>
      <c r="D198" s="7"/>
      <c r="E198" s="7"/>
    </row>
    <row r="199" ht="15.75" customHeight="1">
      <c r="B199" s="7"/>
      <c r="C199" s="7"/>
      <c r="D199" s="7"/>
      <c r="E199" s="7"/>
    </row>
    <row r="200" ht="15.75" customHeight="1">
      <c r="B200" s="7"/>
      <c r="C200" s="7"/>
      <c r="D200" s="7"/>
      <c r="E200" s="7"/>
    </row>
    <row r="201" ht="15.75" customHeight="1">
      <c r="B201" s="7"/>
      <c r="C201" s="7"/>
      <c r="D201" s="7"/>
      <c r="E201" s="7"/>
    </row>
    <row r="202" ht="15.75" customHeight="1">
      <c r="B202" s="7"/>
      <c r="C202" s="7"/>
      <c r="D202" s="7"/>
      <c r="E202" s="7"/>
    </row>
    <row r="203" ht="15.75" customHeight="1">
      <c r="B203" s="7"/>
      <c r="C203" s="7"/>
      <c r="D203" s="7"/>
      <c r="E203" s="7"/>
    </row>
    <row r="204" ht="15.75" customHeight="1">
      <c r="B204" s="7"/>
      <c r="C204" s="7"/>
      <c r="D204" s="7"/>
      <c r="E204" s="7"/>
    </row>
    <row r="205" ht="15.75" customHeight="1">
      <c r="B205" s="7"/>
      <c r="C205" s="7"/>
      <c r="D205" s="7"/>
      <c r="E205" s="7"/>
    </row>
    <row r="206" ht="15.75" customHeight="1">
      <c r="B206" s="7"/>
      <c r="C206" s="7"/>
      <c r="D206" s="7"/>
      <c r="E206" s="7"/>
    </row>
    <row r="207" ht="15.75" customHeight="1">
      <c r="B207" s="7"/>
      <c r="C207" s="7"/>
      <c r="D207" s="7"/>
      <c r="E207" s="7"/>
    </row>
    <row r="208" ht="15.75" customHeight="1">
      <c r="B208" s="7"/>
      <c r="C208" s="7"/>
      <c r="D208" s="7"/>
      <c r="E208" s="7"/>
    </row>
    <row r="209" ht="15.75" customHeight="1">
      <c r="B209" s="7"/>
      <c r="C209" s="7"/>
      <c r="D209" s="7"/>
      <c r="E209" s="7"/>
    </row>
    <row r="210" ht="15.75" customHeight="1">
      <c r="B210" s="7"/>
      <c r="C210" s="7"/>
      <c r="D210" s="7"/>
      <c r="E210" s="7"/>
    </row>
    <row r="211" ht="15.75" customHeight="1">
      <c r="B211" s="7"/>
      <c r="C211" s="7"/>
      <c r="D211" s="7"/>
      <c r="E211" s="7"/>
    </row>
    <row r="212" ht="15.75" customHeight="1">
      <c r="B212" s="7"/>
      <c r="C212" s="7"/>
      <c r="D212" s="7"/>
      <c r="E212" s="7"/>
    </row>
    <row r="213" ht="15.75" customHeight="1">
      <c r="B213" s="7"/>
      <c r="C213" s="7"/>
      <c r="D213" s="7"/>
      <c r="E213" s="7"/>
    </row>
    <row r="214" ht="15.75" customHeight="1">
      <c r="B214" s="7"/>
      <c r="C214" s="7"/>
      <c r="D214" s="7"/>
      <c r="E214" s="7"/>
    </row>
    <row r="215" ht="15.75" customHeight="1">
      <c r="B215" s="7"/>
      <c r="C215" s="7"/>
      <c r="D215" s="7"/>
      <c r="E215" s="7"/>
    </row>
    <row r="216" ht="15.75" customHeight="1">
      <c r="B216" s="7"/>
      <c r="C216" s="7"/>
      <c r="D216" s="7"/>
      <c r="E216" s="7"/>
    </row>
    <row r="217" ht="15.75" customHeight="1">
      <c r="B217" s="7"/>
      <c r="C217" s="7"/>
      <c r="D217" s="7"/>
      <c r="E217" s="7"/>
    </row>
    <row r="218" ht="15.75" customHeight="1">
      <c r="B218" s="7"/>
      <c r="C218" s="7"/>
      <c r="D218" s="7"/>
      <c r="E218" s="7"/>
    </row>
    <row r="219" ht="15.75" customHeight="1">
      <c r="B219" s="7"/>
      <c r="C219" s="7"/>
      <c r="D219" s="7"/>
      <c r="E219" s="7"/>
    </row>
    <row r="220" ht="15.75" customHeight="1">
      <c r="B220" s="7"/>
      <c r="C220" s="7"/>
      <c r="D220" s="7"/>
      <c r="E220" s="7"/>
    </row>
    <row r="221" ht="15.75" customHeight="1">
      <c r="B221" s="7"/>
      <c r="C221" s="7"/>
      <c r="D221" s="7"/>
      <c r="E221" s="7"/>
    </row>
    <row r="222" ht="15.75" customHeight="1">
      <c r="B222" s="7"/>
      <c r="C222" s="7"/>
      <c r="D222" s="7"/>
      <c r="E222" s="7"/>
    </row>
    <row r="223" ht="15.75" customHeight="1">
      <c r="B223" s="7"/>
      <c r="C223" s="7"/>
      <c r="D223" s="7"/>
      <c r="E223" s="7"/>
    </row>
    <row r="224" ht="15.75" customHeight="1">
      <c r="B224" s="7"/>
      <c r="C224" s="7"/>
      <c r="D224" s="7"/>
      <c r="E224" s="7"/>
    </row>
    <row r="225" ht="15.75" customHeight="1">
      <c r="B225" s="7"/>
      <c r="C225" s="7"/>
      <c r="D225" s="7"/>
      <c r="E225" s="7"/>
    </row>
    <row r="226" ht="15.75" customHeight="1">
      <c r="B226" s="7"/>
      <c r="C226" s="7"/>
      <c r="D226" s="7"/>
      <c r="E226" s="7"/>
    </row>
    <row r="227" ht="15.75" customHeight="1">
      <c r="B227" s="7"/>
      <c r="C227" s="7"/>
      <c r="D227" s="7"/>
      <c r="E227" s="7"/>
    </row>
    <row r="228" ht="15.75" customHeight="1">
      <c r="B228" s="7"/>
      <c r="C228" s="7"/>
      <c r="D228" s="7"/>
      <c r="E228" s="7"/>
    </row>
    <row r="229" ht="15.75" customHeight="1">
      <c r="B229" s="7"/>
      <c r="C229" s="7"/>
      <c r="D229" s="7"/>
      <c r="E229" s="7"/>
    </row>
    <row r="230" ht="15.75" customHeight="1">
      <c r="B230" s="7"/>
      <c r="C230" s="7"/>
      <c r="D230" s="7"/>
      <c r="E230" s="7"/>
    </row>
    <row r="231" ht="15.75" customHeight="1">
      <c r="B231" s="7"/>
      <c r="C231" s="7"/>
      <c r="D231" s="7"/>
      <c r="E231" s="7"/>
    </row>
    <row r="232" ht="15.75" customHeight="1">
      <c r="B232" s="7"/>
      <c r="C232" s="7"/>
      <c r="D232" s="7"/>
      <c r="E232" s="7"/>
    </row>
    <row r="233" ht="15.75" customHeight="1">
      <c r="B233" s="7"/>
      <c r="C233" s="7"/>
      <c r="D233" s="7"/>
      <c r="E233" s="7"/>
    </row>
    <row r="234" ht="15.75" customHeight="1">
      <c r="B234" s="7"/>
      <c r="C234" s="7"/>
      <c r="D234" s="7"/>
      <c r="E234" s="7"/>
    </row>
    <row r="235" ht="15.75" customHeight="1">
      <c r="B235" s="7"/>
      <c r="C235" s="7"/>
      <c r="D235" s="7"/>
      <c r="E235" s="7"/>
    </row>
    <row r="236" ht="15.75" customHeight="1">
      <c r="B236" s="7"/>
      <c r="C236" s="7"/>
      <c r="D236" s="7"/>
      <c r="E236" s="7"/>
    </row>
    <row r="237" ht="15.75" customHeight="1">
      <c r="B237" s="7"/>
      <c r="C237" s="7"/>
      <c r="D237" s="7"/>
      <c r="E237" s="7"/>
    </row>
    <row r="238" ht="15.75" customHeight="1">
      <c r="B238" s="7"/>
      <c r="C238" s="7"/>
      <c r="D238" s="7"/>
      <c r="E238" s="7"/>
    </row>
    <row r="239" ht="15.75" customHeight="1">
      <c r="B239" s="7"/>
      <c r="C239" s="7"/>
      <c r="D239" s="7"/>
      <c r="E239" s="7"/>
    </row>
    <row r="240" ht="15.75" customHeight="1">
      <c r="B240" s="7"/>
      <c r="C240" s="7"/>
      <c r="D240" s="7"/>
      <c r="E240" s="7"/>
    </row>
    <row r="241" ht="15.75" customHeight="1">
      <c r="B241" s="7"/>
      <c r="C241" s="7"/>
      <c r="D241" s="7"/>
      <c r="E241" s="7"/>
    </row>
    <row r="242" ht="15.75" customHeight="1">
      <c r="B242" s="7"/>
      <c r="C242" s="7"/>
      <c r="D242" s="7"/>
      <c r="E242" s="7"/>
    </row>
    <row r="243" ht="15.75" customHeight="1">
      <c r="B243" s="7"/>
      <c r="C243" s="7"/>
      <c r="D243" s="7"/>
      <c r="E243" s="7"/>
    </row>
    <row r="244" ht="15.75" customHeight="1">
      <c r="B244" s="7"/>
      <c r="C244" s="7"/>
      <c r="D244" s="7"/>
      <c r="E244" s="7"/>
    </row>
    <row r="245" ht="15.75" customHeight="1">
      <c r="B245" s="7"/>
      <c r="C245" s="7"/>
      <c r="D245" s="7"/>
      <c r="E245" s="7"/>
    </row>
    <row r="246" ht="15.75" customHeight="1">
      <c r="B246" s="7"/>
      <c r="C246" s="7"/>
      <c r="D246" s="7"/>
      <c r="E246" s="7"/>
    </row>
    <row r="247" ht="15.75" customHeight="1">
      <c r="B247" s="7"/>
      <c r="C247" s="7"/>
      <c r="D247" s="7"/>
      <c r="E247" s="7"/>
    </row>
    <row r="248" ht="15.75" customHeight="1">
      <c r="B248" s="7"/>
      <c r="C248" s="7"/>
      <c r="D248" s="7"/>
      <c r="E248" s="7"/>
    </row>
    <row r="249" ht="15.75" customHeight="1">
      <c r="B249" s="7"/>
      <c r="C249" s="7"/>
      <c r="D249" s="7"/>
      <c r="E249" s="7"/>
    </row>
    <row r="250" ht="15.75" customHeight="1">
      <c r="B250" s="7"/>
      <c r="C250" s="7"/>
      <c r="D250" s="7"/>
      <c r="E250" s="7"/>
    </row>
    <row r="251" ht="15.75" customHeight="1">
      <c r="B251" s="7"/>
      <c r="C251" s="7"/>
      <c r="D251" s="7"/>
      <c r="E251" s="7"/>
    </row>
    <row r="252" ht="15.75" customHeight="1">
      <c r="B252" s="7"/>
      <c r="C252" s="7"/>
      <c r="D252" s="7"/>
      <c r="E252" s="7"/>
    </row>
    <row r="253" ht="15.75" customHeight="1">
      <c r="B253" s="7"/>
      <c r="C253" s="7"/>
      <c r="D253" s="7"/>
      <c r="E253" s="7"/>
    </row>
    <row r="254" ht="15.75" customHeight="1">
      <c r="B254" s="7"/>
      <c r="C254" s="7"/>
      <c r="D254" s="7"/>
      <c r="E254" s="7"/>
    </row>
    <row r="255" ht="15.75" customHeight="1">
      <c r="B255" s="7"/>
      <c r="C255" s="7"/>
      <c r="D255" s="7"/>
      <c r="E255" s="7"/>
    </row>
    <row r="256" ht="15.75" customHeight="1">
      <c r="B256" s="7"/>
      <c r="C256" s="7"/>
      <c r="D256" s="7"/>
      <c r="E256" s="7"/>
    </row>
    <row r="257" ht="15.75" customHeight="1">
      <c r="B257" s="7"/>
      <c r="C257" s="7"/>
      <c r="D257" s="7"/>
      <c r="E257" s="7"/>
    </row>
    <row r="258" ht="15.75" customHeight="1">
      <c r="B258" s="7"/>
      <c r="C258" s="7"/>
      <c r="D258" s="7"/>
      <c r="E258" s="7"/>
    </row>
    <row r="259" ht="15.75" customHeight="1">
      <c r="B259" s="7"/>
      <c r="C259" s="7"/>
      <c r="D259" s="7"/>
      <c r="E259" s="7"/>
    </row>
    <row r="260" ht="15.75" customHeight="1">
      <c r="B260" s="7"/>
      <c r="C260" s="7"/>
      <c r="D260" s="7"/>
      <c r="E260" s="7"/>
    </row>
    <row r="261" ht="15.75" customHeight="1">
      <c r="B261" s="7"/>
      <c r="C261" s="7"/>
      <c r="D261" s="7"/>
      <c r="E261" s="7"/>
    </row>
    <row r="262" ht="15.75" customHeight="1">
      <c r="B262" s="7"/>
      <c r="C262" s="7"/>
      <c r="D262" s="7"/>
      <c r="E262" s="7"/>
    </row>
    <row r="263" ht="15.75" customHeight="1">
      <c r="B263" s="7"/>
      <c r="C263" s="7"/>
      <c r="D263" s="7"/>
      <c r="E263" s="7"/>
    </row>
    <row r="264" ht="15.75" customHeight="1">
      <c r="B264" s="7"/>
      <c r="C264" s="7"/>
      <c r="D264" s="7"/>
      <c r="E264" s="7"/>
    </row>
    <row r="265" ht="15.75" customHeight="1">
      <c r="B265" s="7"/>
      <c r="C265" s="7"/>
      <c r="D265" s="7"/>
      <c r="E265" s="7"/>
    </row>
    <row r="266" ht="15.75" customHeight="1">
      <c r="B266" s="7"/>
      <c r="C266" s="7"/>
      <c r="D266" s="7"/>
      <c r="E266" s="7"/>
    </row>
    <row r="267" ht="15.75" customHeight="1">
      <c r="B267" s="7"/>
      <c r="C267" s="7"/>
      <c r="D267" s="7"/>
      <c r="E267" s="7"/>
    </row>
    <row r="268" ht="15.75" customHeight="1">
      <c r="B268" s="7"/>
      <c r="C268" s="7"/>
      <c r="D268" s="7"/>
      <c r="E268" s="7"/>
    </row>
    <row r="269" ht="15.75" customHeight="1">
      <c r="B269" s="7"/>
      <c r="C269" s="7"/>
      <c r="D269" s="7"/>
      <c r="E269" s="7"/>
    </row>
    <row r="270" ht="15.75" customHeight="1">
      <c r="B270" s="7"/>
      <c r="C270" s="7"/>
      <c r="D270" s="7"/>
      <c r="E270" s="7"/>
    </row>
    <row r="271" ht="15.75" customHeight="1">
      <c r="B271" s="7"/>
      <c r="C271" s="7"/>
      <c r="D271" s="7"/>
      <c r="E271" s="7"/>
    </row>
    <row r="272" ht="15.75" customHeight="1">
      <c r="B272" s="7"/>
      <c r="C272" s="7"/>
      <c r="D272" s="7"/>
      <c r="E272" s="7"/>
    </row>
    <row r="273" ht="15.75" customHeight="1">
      <c r="B273" s="7"/>
      <c r="C273" s="7"/>
      <c r="D273" s="7"/>
      <c r="E273" s="7"/>
    </row>
    <row r="274" ht="15.75" customHeight="1">
      <c r="B274" s="7"/>
      <c r="C274" s="7"/>
      <c r="D274" s="7"/>
      <c r="E274" s="7"/>
    </row>
    <row r="275" ht="15.75" customHeight="1">
      <c r="B275" s="7"/>
      <c r="C275" s="7"/>
      <c r="D275" s="7"/>
      <c r="E275" s="7"/>
    </row>
    <row r="276" ht="15.75" customHeight="1">
      <c r="B276" s="7"/>
      <c r="C276" s="7"/>
      <c r="D276" s="7"/>
      <c r="E276" s="7"/>
    </row>
    <row r="277" ht="15.75" customHeight="1">
      <c r="B277" s="7"/>
      <c r="C277" s="7"/>
      <c r="D277" s="7"/>
      <c r="E277" s="7"/>
    </row>
    <row r="278" ht="15.75" customHeight="1">
      <c r="B278" s="7"/>
      <c r="C278" s="7"/>
      <c r="D278" s="7"/>
      <c r="E278" s="7"/>
    </row>
    <row r="279" ht="15.75" customHeight="1">
      <c r="B279" s="7"/>
      <c r="C279" s="7"/>
      <c r="D279" s="7"/>
      <c r="E279" s="7"/>
    </row>
    <row r="280" ht="15.75" customHeight="1">
      <c r="B280" s="7"/>
      <c r="C280" s="7"/>
      <c r="D280" s="7"/>
      <c r="E280" s="7"/>
    </row>
    <row r="281" ht="15.75" customHeight="1">
      <c r="B281" s="7"/>
      <c r="C281" s="7"/>
      <c r="D281" s="7"/>
      <c r="E281" s="7"/>
    </row>
    <row r="282" ht="15.75" customHeight="1">
      <c r="B282" s="7"/>
      <c r="C282" s="7"/>
      <c r="D282" s="7"/>
      <c r="E282" s="7"/>
    </row>
    <row r="283" ht="15.75" customHeight="1">
      <c r="B283" s="7"/>
      <c r="C283" s="7"/>
      <c r="D283" s="7"/>
      <c r="E283" s="7"/>
    </row>
    <row r="284" ht="15.75" customHeight="1">
      <c r="B284" s="7"/>
      <c r="C284" s="7"/>
      <c r="D284" s="7"/>
      <c r="E284" s="7"/>
    </row>
    <row r="285" ht="15.75" customHeight="1">
      <c r="B285" s="7"/>
      <c r="C285" s="7"/>
      <c r="D285" s="7"/>
      <c r="E285" s="7"/>
    </row>
    <row r="286" ht="15.75" customHeight="1">
      <c r="B286" s="7"/>
      <c r="C286" s="7"/>
      <c r="D286" s="7"/>
      <c r="E286" s="7"/>
    </row>
    <row r="287" ht="15.75" customHeight="1">
      <c r="B287" s="7"/>
      <c r="C287" s="7"/>
      <c r="D287" s="7"/>
      <c r="E287" s="7"/>
    </row>
    <row r="288" ht="15.75" customHeight="1">
      <c r="B288" s="7"/>
      <c r="C288" s="7"/>
      <c r="D288" s="7"/>
      <c r="E288" s="7"/>
    </row>
    <row r="289" ht="15.75" customHeight="1">
      <c r="B289" s="7"/>
      <c r="C289" s="7"/>
      <c r="D289" s="7"/>
      <c r="E289" s="7"/>
    </row>
    <row r="290" ht="15.75" customHeight="1">
      <c r="B290" s="7"/>
      <c r="C290" s="7"/>
      <c r="D290" s="7"/>
      <c r="E290" s="7"/>
    </row>
    <row r="291" ht="15.75" customHeight="1">
      <c r="B291" s="7"/>
      <c r="C291" s="7"/>
      <c r="D291" s="7"/>
      <c r="E291" s="7"/>
    </row>
    <row r="292" ht="15.75" customHeight="1">
      <c r="B292" s="7"/>
      <c r="C292" s="7"/>
      <c r="D292" s="7"/>
      <c r="E292" s="7"/>
    </row>
    <row r="293" ht="15.75" customHeight="1">
      <c r="B293" s="7"/>
      <c r="C293" s="7"/>
      <c r="D293" s="7"/>
      <c r="E293" s="7"/>
    </row>
    <row r="294" ht="15.75" customHeight="1">
      <c r="B294" s="7"/>
      <c r="C294" s="7"/>
      <c r="D294" s="7"/>
      <c r="E294" s="7"/>
    </row>
    <row r="295" ht="15.75" customHeight="1">
      <c r="B295" s="7"/>
      <c r="C295" s="7"/>
      <c r="D295" s="7"/>
      <c r="E295" s="7"/>
    </row>
    <row r="296" ht="15.75" customHeight="1">
      <c r="B296" s="7"/>
      <c r="C296" s="7"/>
      <c r="D296" s="7"/>
      <c r="E296" s="7"/>
    </row>
    <row r="297" ht="15.75" customHeight="1">
      <c r="B297" s="7"/>
      <c r="C297" s="7"/>
      <c r="D297" s="7"/>
      <c r="E297" s="7"/>
    </row>
    <row r="298" ht="15.75" customHeight="1">
      <c r="B298" s="7"/>
      <c r="C298" s="7"/>
      <c r="D298" s="7"/>
      <c r="E298" s="7"/>
    </row>
    <row r="299" ht="15.75" customHeight="1">
      <c r="B299" s="7"/>
      <c r="C299" s="7"/>
      <c r="D299" s="7"/>
      <c r="E299" s="7"/>
    </row>
    <row r="300" ht="15.75" customHeight="1">
      <c r="B300" s="7"/>
      <c r="C300" s="7"/>
      <c r="D300" s="7"/>
      <c r="E300" s="7"/>
    </row>
    <row r="301" ht="15.75" customHeight="1">
      <c r="B301" s="7"/>
      <c r="C301" s="7"/>
      <c r="D301" s="7"/>
      <c r="E301" s="7"/>
    </row>
    <row r="302" ht="15.75" customHeight="1">
      <c r="B302" s="7"/>
      <c r="C302" s="7"/>
      <c r="D302" s="7"/>
      <c r="E302" s="7"/>
    </row>
    <row r="303" ht="15.75" customHeight="1">
      <c r="B303" s="7"/>
      <c r="C303" s="7"/>
      <c r="D303" s="7"/>
      <c r="E303" s="7"/>
    </row>
    <row r="304" ht="15.75" customHeight="1">
      <c r="B304" s="7"/>
      <c r="C304" s="7"/>
      <c r="D304" s="7"/>
      <c r="E304" s="7"/>
    </row>
    <row r="305" ht="15.75" customHeight="1">
      <c r="B305" s="7"/>
      <c r="C305" s="7"/>
      <c r="D305" s="7"/>
      <c r="E305" s="7"/>
    </row>
    <row r="306" ht="15.75" customHeight="1">
      <c r="B306" s="7"/>
      <c r="C306" s="7"/>
      <c r="D306" s="7"/>
      <c r="E306" s="7"/>
    </row>
    <row r="307" ht="15.75" customHeight="1">
      <c r="B307" s="7"/>
      <c r="C307" s="7"/>
      <c r="D307" s="7"/>
      <c r="E307" s="7"/>
    </row>
    <row r="308" ht="15.75" customHeight="1">
      <c r="B308" s="7"/>
      <c r="C308" s="7"/>
      <c r="D308" s="7"/>
      <c r="E308" s="7"/>
    </row>
    <row r="309" ht="15.75" customHeight="1">
      <c r="B309" s="7"/>
      <c r="C309" s="7"/>
      <c r="D309" s="7"/>
      <c r="E309" s="7"/>
    </row>
    <row r="310" ht="15.75" customHeight="1">
      <c r="B310" s="7"/>
      <c r="C310" s="7"/>
      <c r="D310" s="7"/>
      <c r="E310" s="7"/>
    </row>
    <row r="311" ht="15.75" customHeight="1">
      <c r="B311" s="7"/>
      <c r="C311" s="7"/>
      <c r="D311" s="7"/>
      <c r="E311" s="7"/>
    </row>
    <row r="312" ht="15.75" customHeight="1">
      <c r="B312" s="7"/>
      <c r="C312" s="7"/>
      <c r="D312" s="7"/>
      <c r="E312" s="7"/>
    </row>
    <row r="313" ht="15.75" customHeight="1">
      <c r="B313" s="7"/>
      <c r="C313" s="7"/>
      <c r="D313" s="7"/>
      <c r="E313" s="7"/>
    </row>
    <row r="314" ht="15.75" customHeight="1">
      <c r="B314" s="7"/>
      <c r="C314" s="7"/>
      <c r="D314" s="7"/>
      <c r="E314" s="7"/>
    </row>
    <row r="315" ht="15.75" customHeight="1">
      <c r="B315" s="7"/>
      <c r="C315" s="7"/>
      <c r="D315" s="7"/>
      <c r="E315" s="7"/>
    </row>
    <row r="316" ht="15.75" customHeight="1">
      <c r="B316" s="7"/>
      <c r="C316" s="7"/>
      <c r="D316" s="7"/>
      <c r="E316" s="7"/>
    </row>
    <row r="317" ht="15.75" customHeight="1">
      <c r="B317" s="7"/>
      <c r="C317" s="7"/>
      <c r="D317" s="7"/>
      <c r="E317" s="7"/>
    </row>
    <row r="318" ht="15.75" customHeight="1">
      <c r="B318" s="7"/>
      <c r="C318" s="7"/>
      <c r="D318" s="7"/>
      <c r="E318" s="7"/>
    </row>
    <row r="319" ht="15.75" customHeight="1">
      <c r="B319" s="7"/>
      <c r="C319" s="7"/>
      <c r="D319" s="7"/>
      <c r="E319" s="7"/>
    </row>
    <row r="320" ht="15.75" customHeight="1">
      <c r="B320" s="7"/>
      <c r="C320" s="7"/>
      <c r="D320" s="7"/>
      <c r="E320" s="7"/>
    </row>
    <row r="321" ht="15.75" customHeight="1">
      <c r="B321" s="7"/>
      <c r="C321" s="7"/>
      <c r="D321" s="7"/>
      <c r="E321" s="7"/>
    </row>
    <row r="322" ht="15.75" customHeight="1">
      <c r="B322" s="7"/>
      <c r="C322" s="7"/>
      <c r="D322" s="7"/>
      <c r="E322" s="7"/>
    </row>
    <row r="323" ht="15.75" customHeight="1">
      <c r="B323" s="7"/>
      <c r="C323" s="7"/>
      <c r="D323" s="7"/>
      <c r="E323" s="7"/>
    </row>
    <row r="324" ht="15.75" customHeight="1">
      <c r="B324" s="7"/>
      <c r="C324" s="7"/>
      <c r="D324" s="7"/>
      <c r="E324" s="7"/>
    </row>
    <row r="325" ht="15.75" customHeight="1">
      <c r="B325" s="7"/>
      <c r="C325" s="7"/>
      <c r="D325" s="7"/>
      <c r="E325" s="7"/>
    </row>
    <row r="326" ht="15.75" customHeight="1">
      <c r="B326" s="7"/>
      <c r="C326" s="7"/>
      <c r="D326" s="7"/>
      <c r="E326" s="7"/>
    </row>
    <row r="327" ht="15.75" customHeight="1">
      <c r="B327" s="7"/>
      <c r="C327" s="7"/>
      <c r="D327" s="7"/>
      <c r="E327" s="7"/>
    </row>
    <row r="328" ht="15.75" customHeight="1">
      <c r="B328" s="7"/>
      <c r="C328" s="7"/>
      <c r="D328" s="7"/>
      <c r="E328" s="7"/>
    </row>
    <row r="329" ht="15.75" customHeight="1">
      <c r="B329" s="7"/>
      <c r="C329" s="7"/>
      <c r="D329" s="7"/>
      <c r="E329" s="7"/>
    </row>
    <row r="330" ht="15.75" customHeight="1">
      <c r="B330" s="7"/>
      <c r="C330" s="7"/>
      <c r="D330" s="7"/>
      <c r="E330" s="7"/>
    </row>
    <row r="331" ht="15.75" customHeight="1">
      <c r="B331" s="7"/>
      <c r="C331" s="7"/>
      <c r="D331" s="7"/>
      <c r="E331" s="7"/>
    </row>
    <row r="332" ht="15.75" customHeight="1">
      <c r="B332" s="7"/>
      <c r="C332" s="7"/>
      <c r="D332" s="7"/>
      <c r="E332" s="7"/>
    </row>
    <row r="333" ht="15.75" customHeight="1">
      <c r="B333" s="7"/>
      <c r="C333" s="7"/>
      <c r="D333" s="7"/>
      <c r="E333" s="7"/>
    </row>
    <row r="334" ht="15.75" customHeight="1">
      <c r="B334" s="7"/>
      <c r="C334" s="7"/>
      <c r="D334" s="7"/>
      <c r="E334" s="7"/>
    </row>
    <row r="335" ht="15.75" customHeight="1">
      <c r="B335" s="7"/>
      <c r="C335" s="7"/>
      <c r="D335" s="7"/>
      <c r="E335" s="7"/>
    </row>
    <row r="336" ht="15.75" customHeight="1">
      <c r="B336" s="7"/>
      <c r="C336" s="7"/>
      <c r="D336" s="7"/>
      <c r="E336" s="7"/>
    </row>
    <row r="337" ht="15.75" customHeight="1">
      <c r="B337" s="7"/>
      <c r="C337" s="7"/>
      <c r="D337" s="7"/>
      <c r="E337" s="7"/>
    </row>
    <row r="338" ht="15.75" customHeight="1">
      <c r="B338" s="7"/>
      <c r="C338" s="7"/>
      <c r="D338" s="7"/>
      <c r="E338" s="7"/>
    </row>
    <row r="339" ht="15.75" customHeight="1">
      <c r="B339" s="7"/>
      <c r="C339" s="7"/>
      <c r="D339" s="7"/>
      <c r="E339" s="7"/>
    </row>
    <row r="340" ht="15.75" customHeight="1">
      <c r="B340" s="7"/>
      <c r="C340" s="7"/>
      <c r="D340" s="7"/>
      <c r="E340" s="7"/>
    </row>
    <row r="341" ht="15.75" customHeight="1">
      <c r="B341" s="7"/>
      <c r="C341" s="7"/>
      <c r="D341" s="7"/>
      <c r="E341" s="7"/>
    </row>
    <row r="342" ht="15.75" customHeight="1">
      <c r="B342" s="7"/>
      <c r="C342" s="7"/>
      <c r="D342" s="7"/>
      <c r="E342" s="7"/>
    </row>
    <row r="343" ht="15.75" customHeight="1">
      <c r="B343" s="7"/>
      <c r="C343" s="7"/>
      <c r="D343" s="7"/>
      <c r="E343" s="7"/>
    </row>
    <row r="344" ht="15.75" customHeight="1">
      <c r="B344" s="7"/>
      <c r="C344" s="7"/>
      <c r="D344" s="7"/>
      <c r="E344" s="7"/>
    </row>
    <row r="345" ht="15.75" customHeight="1">
      <c r="B345" s="7"/>
      <c r="C345" s="7"/>
      <c r="D345" s="7"/>
      <c r="E345" s="7"/>
    </row>
    <row r="346" ht="15.75" customHeight="1">
      <c r="B346" s="7"/>
      <c r="C346" s="7"/>
      <c r="D346" s="7"/>
      <c r="E346" s="7"/>
    </row>
    <row r="347" ht="15.75" customHeight="1">
      <c r="B347" s="7"/>
      <c r="C347" s="7"/>
      <c r="D347" s="7"/>
      <c r="E347" s="7"/>
    </row>
    <row r="348" ht="15.75" customHeight="1">
      <c r="B348" s="7"/>
      <c r="C348" s="7"/>
      <c r="D348" s="7"/>
      <c r="E348" s="7"/>
    </row>
    <row r="349" ht="15.75" customHeight="1">
      <c r="B349" s="7"/>
      <c r="C349" s="7"/>
      <c r="D349" s="7"/>
      <c r="E349" s="7"/>
    </row>
    <row r="350" ht="15.75" customHeight="1">
      <c r="B350" s="7"/>
      <c r="C350" s="7"/>
      <c r="D350" s="7"/>
      <c r="E350" s="7"/>
    </row>
    <row r="351" ht="15.75" customHeight="1">
      <c r="B351" s="7"/>
      <c r="C351" s="7"/>
      <c r="D351" s="7"/>
      <c r="E351" s="7"/>
    </row>
    <row r="352" ht="15.75" customHeight="1">
      <c r="B352" s="7"/>
      <c r="C352" s="7"/>
      <c r="D352" s="7"/>
      <c r="E352" s="7"/>
    </row>
    <row r="353" ht="15.75" customHeight="1">
      <c r="B353" s="7"/>
      <c r="C353" s="7"/>
      <c r="D353" s="7"/>
      <c r="E353" s="7"/>
    </row>
    <row r="354" ht="15.75" customHeight="1">
      <c r="B354" s="7"/>
      <c r="C354" s="7"/>
      <c r="D354" s="7"/>
      <c r="E354" s="7"/>
    </row>
    <row r="355" ht="15.75" customHeight="1">
      <c r="B355" s="7"/>
      <c r="C355" s="7"/>
      <c r="D355" s="7"/>
      <c r="E355" s="7"/>
    </row>
    <row r="356" ht="15.75" customHeight="1">
      <c r="B356" s="7"/>
      <c r="C356" s="7"/>
      <c r="D356" s="7"/>
      <c r="E356" s="7"/>
    </row>
    <row r="357" ht="15.75" customHeight="1">
      <c r="B357" s="7"/>
      <c r="C357" s="7"/>
      <c r="D357" s="7"/>
      <c r="E357" s="7"/>
    </row>
    <row r="358" ht="15.75" customHeight="1">
      <c r="B358" s="7"/>
      <c r="C358" s="7"/>
      <c r="D358" s="7"/>
      <c r="E358" s="7"/>
    </row>
    <row r="359" ht="15.75" customHeight="1">
      <c r="B359" s="7"/>
      <c r="C359" s="7"/>
      <c r="D359" s="7"/>
      <c r="E359" s="7"/>
    </row>
    <row r="360" ht="15.75" customHeight="1">
      <c r="B360" s="7"/>
      <c r="C360" s="7"/>
      <c r="D360" s="7"/>
      <c r="E360" s="7"/>
    </row>
    <row r="361" ht="15.75" customHeight="1">
      <c r="B361" s="7"/>
      <c r="C361" s="7"/>
      <c r="D361" s="7"/>
      <c r="E361" s="7"/>
    </row>
    <row r="362" ht="15.75" customHeight="1">
      <c r="B362" s="7"/>
      <c r="C362" s="7"/>
      <c r="D362" s="7"/>
      <c r="E362" s="7"/>
    </row>
    <row r="363" ht="15.75" customHeight="1">
      <c r="B363" s="7"/>
      <c r="C363" s="7"/>
      <c r="D363" s="7"/>
      <c r="E363" s="7"/>
    </row>
    <row r="364" ht="15.75" customHeight="1">
      <c r="B364" s="7"/>
      <c r="C364" s="7"/>
      <c r="D364" s="7"/>
      <c r="E364" s="7"/>
    </row>
    <row r="365" ht="15.75" customHeight="1">
      <c r="B365" s="7"/>
      <c r="C365" s="7"/>
      <c r="D365" s="7"/>
      <c r="E365" s="7"/>
    </row>
    <row r="366" ht="15.75" customHeight="1">
      <c r="B366" s="7"/>
      <c r="C366" s="7"/>
      <c r="D366" s="7"/>
      <c r="E366" s="7"/>
    </row>
    <row r="367" ht="15.75" customHeight="1">
      <c r="B367" s="7"/>
      <c r="C367" s="7"/>
      <c r="D367" s="7"/>
      <c r="E367" s="7"/>
    </row>
    <row r="368" ht="15.75" customHeight="1">
      <c r="B368" s="7"/>
      <c r="C368" s="7"/>
      <c r="D368" s="7"/>
      <c r="E368" s="7"/>
    </row>
    <row r="369" ht="15.75" customHeight="1">
      <c r="B369" s="7"/>
      <c r="C369" s="7"/>
      <c r="D369" s="7"/>
      <c r="E369" s="7"/>
    </row>
    <row r="370" ht="15.75" customHeight="1">
      <c r="B370" s="7"/>
      <c r="C370" s="7"/>
      <c r="D370" s="7"/>
      <c r="E370" s="7"/>
    </row>
    <row r="371" ht="15.75" customHeight="1">
      <c r="B371" s="7"/>
      <c r="C371" s="7"/>
      <c r="D371" s="7"/>
      <c r="E371" s="7"/>
    </row>
    <row r="372" ht="15.75" customHeight="1">
      <c r="B372" s="7"/>
      <c r="C372" s="7"/>
      <c r="D372" s="7"/>
      <c r="E372" s="7"/>
    </row>
    <row r="373" ht="15.75" customHeight="1">
      <c r="B373" s="7"/>
      <c r="C373" s="7"/>
      <c r="D373" s="7"/>
      <c r="E373" s="7"/>
    </row>
    <row r="374" ht="15.75" customHeight="1">
      <c r="B374" s="7"/>
      <c r="C374" s="7"/>
      <c r="D374" s="7"/>
      <c r="E374" s="7"/>
    </row>
    <row r="375" ht="15.75" customHeight="1">
      <c r="B375" s="7"/>
      <c r="C375" s="7"/>
      <c r="D375" s="7"/>
      <c r="E375" s="7"/>
    </row>
    <row r="376" ht="15.75" customHeight="1">
      <c r="B376" s="7"/>
      <c r="C376" s="7"/>
      <c r="D376" s="7"/>
      <c r="E376" s="7"/>
    </row>
    <row r="377" ht="15.75" customHeight="1">
      <c r="B377" s="7"/>
      <c r="C377" s="7"/>
      <c r="D377" s="7"/>
      <c r="E377" s="7"/>
    </row>
    <row r="378" ht="15.75" customHeight="1">
      <c r="B378" s="7"/>
      <c r="C378" s="7"/>
      <c r="D378" s="7"/>
      <c r="E378" s="7"/>
    </row>
    <row r="379" ht="15.75" customHeight="1">
      <c r="B379" s="7"/>
      <c r="C379" s="7"/>
      <c r="D379" s="7"/>
      <c r="E379" s="7"/>
    </row>
    <row r="380" ht="15.75" customHeight="1">
      <c r="B380" s="7"/>
      <c r="C380" s="7"/>
      <c r="D380" s="7"/>
      <c r="E380" s="7"/>
    </row>
    <row r="381" ht="15.75" customHeight="1">
      <c r="B381" s="7"/>
      <c r="C381" s="7"/>
      <c r="D381" s="7"/>
      <c r="E381" s="7"/>
    </row>
    <row r="382" ht="15.75" customHeight="1">
      <c r="B382" s="7"/>
      <c r="C382" s="7"/>
      <c r="D382" s="7"/>
      <c r="E382" s="7"/>
    </row>
    <row r="383" ht="15.75" customHeight="1">
      <c r="B383" s="7"/>
      <c r="C383" s="7"/>
      <c r="D383" s="7"/>
      <c r="E383" s="7"/>
    </row>
    <row r="384" ht="15.75" customHeight="1">
      <c r="B384" s="7"/>
      <c r="C384" s="7"/>
      <c r="D384" s="7"/>
      <c r="E384" s="7"/>
    </row>
    <row r="385" ht="15.75" customHeight="1">
      <c r="B385" s="7"/>
      <c r="C385" s="7"/>
      <c r="D385" s="7"/>
      <c r="E385" s="7"/>
    </row>
    <row r="386" ht="15.75" customHeight="1">
      <c r="B386" s="7"/>
      <c r="C386" s="7"/>
      <c r="D386" s="7"/>
      <c r="E386" s="7"/>
    </row>
    <row r="387" ht="15.75" customHeight="1">
      <c r="B387" s="7"/>
      <c r="C387" s="7"/>
      <c r="D387" s="7"/>
      <c r="E387" s="7"/>
    </row>
    <row r="388" ht="15.75" customHeight="1">
      <c r="B388" s="7"/>
      <c r="C388" s="7"/>
      <c r="D388" s="7"/>
      <c r="E388" s="7"/>
    </row>
    <row r="389" ht="15.75" customHeight="1">
      <c r="B389" s="7"/>
      <c r="C389" s="7"/>
      <c r="D389" s="7"/>
      <c r="E389" s="7"/>
    </row>
    <row r="390" ht="15.75" customHeight="1">
      <c r="B390" s="7"/>
      <c r="C390" s="7"/>
      <c r="D390" s="7"/>
      <c r="E390" s="7"/>
    </row>
    <row r="391" ht="15.75" customHeight="1">
      <c r="B391" s="7"/>
      <c r="C391" s="7"/>
      <c r="D391" s="7"/>
      <c r="E391" s="7"/>
    </row>
    <row r="392" ht="15.75" customHeight="1">
      <c r="B392" s="7"/>
      <c r="C392" s="7"/>
      <c r="D392" s="7"/>
      <c r="E392" s="7"/>
    </row>
    <row r="393" ht="15.75" customHeight="1">
      <c r="B393" s="7"/>
      <c r="C393" s="7"/>
      <c r="D393" s="7"/>
      <c r="E393" s="7"/>
    </row>
    <row r="394" ht="15.75" customHeight="1">
      <c r="B394" s="7"/>
      <c r="C394" s="7"/>
      <c r="D394" s="7"/>
      <c r="E394" s="7"/>
    </row>
    <row r="395" ht="15.75" customHeight="1">
      <c r="B395" s="7"/>
      <c r="C395" s="7"/>
      <c r="D395" s="7"/>
      <c r="E395" s="7"/>
    </row>
    <row r="396" ht="15.75" customHeight="1">
      <c r="B396" s="7"/>
      <c r="C396" s="7"/>
      <c r="D396" s="7"/>
      <c r="E396" s="7"/>
    </row>
    <row r="397" ht="15.75" customHeight="1">
      <c r="B397" s="7"/>
      <c r="C397" s="7"/>
      <c r="D397" s="7"/>
      <c r="E397" s="7"/>
    </row>
    <row r="398" ht="15.75" customHeight="1">
      <c r="B398" s="7"/>
      <c r="C398" s="7"/>
      <c r="D398" s="7"/>
      <c r="E398" s="7"/>
    </row>
    <row r="399" ht="15.75" customHeight="1">
      <c r="B399" s="7"/>
      <c r="C399" s="7"/>
      <c r="D399" s="7"/>
      <c r="E399" s="7"/>
    </row>
    <row r="400" ht="15.75" customHeight="1">
      <c r="B400" s="7"/>
      <c r="C400" s="7"/>
      <c r="D400" s="7"/>
      <c r="E400" s="7"/>
    </row>
    <row r="401" ht="15.75" customHeight="1">
      <c r="B401" s="7"/>
      <c r="C401" s="7"/>
      <c r="D401" s="7"/>
      <c r="E401" s="7"/>
    </row>
    <row r="402" ht="15.75" customHeight="1">
      <c r="B402" s="7"/>
      <c r="C402" s="7"/>
      <c r="D402" s="7"/>
      <c r="E402" s="7"/>
    </row>
    <row r="403" ht="15.75" customHeight="1">
      <c r="B403" s="7"/>
      <c r="C403" s="7"/>
      <c r="D403" s="7"/>
      <c r="E403" s="7"/>
    </row>
    <row r="404" ht="15.75" customHeight="1">
      <c r="B404" s="7"/>
      <c r="C404" s="7"/>
      <c r="D404" s="7"/>
      <c r="E404" s="7"/>
    </row>
    <row r="405" ht="15.75" customHeight="1">
      <c r="B405" s="7"/>
      <c r="C405" s="7"/>
      <c r="D405" s="7"/>
      <c r="E405" s="7"/>
    </row>
    <row r="406" ht="15.75" customHeight="1">
      <c r="B406" s="7"/>
      <c r="C406" s="7"/>
      <c r="D406" s="7"/>
      <c r="E406" s="7"/>
    </row>
    <row r="407" ht="15.75" customHeight="1">
      <c r="B407" s="7"/>
      <c r="C407" s="7"/>
      <c r="D407" s="7"/>
      <c r="E407" s="7"/>
    </row>
    <row r="408" ht="15.75" customHeight="1">
      <c r="B408" s="7"/>
      <c r="C408" s="7"/>
      <c r="D408" s="7"/>
      <c r="E408" s="7"/>
    </row>
    <row r="409" ht="15.75" customHeight="1">
      <c r="B409" s="7"/>
      <c r="C409" s="7"/>
      <c r="D409" s="7"/>
      <c r="E409" s="7"/>
    </row>
    <row r="410" ht="15.75" customHeight="1">
      <c r="B410" s="7"/>
      <c r="C410" s="7"/>
      <c r="D410" s="7"/>
      <c r="E410" s="7"/>
    </row>
    <row r="411" ht="15.75" customHeight="1">
      <c r="B411" s="7"/>
      <c r="C411" s="7"/>
      <c r="D411" s="7"/>
      <c r="E411" s="7"/>
    </row>
    <row r="412" ht="15.75" customHeight="1">
      <c r="B412" s="7"/>
      <c r="C412" s="7"/>
      <c r="D412" s="7"/>
      <c r="E412" s="7"/>
    </row>
    <row r="413" ht="15.75" customHeight="1">
      <c r="B413" s="7"/>
      <c r="C413" s="7"/>
      <c r="D413" s="7"/>
      <c r="E413" s="7"/>
    </row>
    <row r="414" ht="15.75" customHeight="1">
      <c r="B414" s="7"/>
      <c r="C414" s="7"/>
      <c r="D414" s="7"/>
      <c r="E414" s="7"/>
    </row>
    <row r="415" ht="15.75" customHeight="1">
      <c r="B415" s="7"/>
      <c r="C415" s="7"/>
      <c r="D415" s="7"/>
      <c r="E415" s="7"/>
    </row>
    <row r="416" ht="15.75" customHeight="1">
      <c r="B416" s="7"/>
      <c r="C416" s="7"/>
      <c r="D416" s="7"/>
      <c r="E416" s="7"/>
    </row>
    <row r="417" ht="15.75" customHeight="1">
      <c r="B417" s="7"/>
      <c r="C417" s="7"/>
      <c r="D417" s="7"/>
      <c r="E417" s="7"/>
    </row>
    <row r="418" ht="15.75" customHeight="1">
      <c r="B418" s="7"/>
      <c r="C418" s="7"/>
      <c r="D418" s="7"/>
      <c r="E418" s="7"/>
    </row>
    <row r="419" ht="15.75" customHeight="1">
      <c r="B419" s="7"/>
      <c r="C419" s="7"/>
      <c r="D419" s="7"/>
      <c r="E419" s="7"/>
    </row>
    <row r="420" ht="15.75" customHeight="1">
      <c r="B420" s="7"/>
      <c r="C420" s="7"/>
      <c r="D420" s="7"/>
      <c r="E420" s="7"/>
    </row>
    <row r="421" ht="15.75" customHeight="1">
      <c r="B421" s="7"/>
      <c r="C421" s="7"/>
      <c r="D421" s="7"/>
      <c r="E421" s="7"/>
    </row>
    <row r="422" ht="15.75" customHeight="1">
      <c r="B422" s="7"/>
      <c r="C422" s="7"/>
      <c r="D422" s="7"/>
      <c r="E422" s="7"/>
    </row>
    <row r="423" ht="15.75" customHeight="1">
      <c r="B423" s="7"/>
      <c r="C423" s="7"/>
      <c r="D423" s="7"/>
      <c r="E423" s="7"/>
    </row>
    <row r="424" ht="15.75" customHeight="1">
      <c r="B424" s="7"/>
      <c r="C424" s="7"/>
      <c r="D424" s="7"/>
      <c r="E424" s="7"/>
    </row>
    <row r="425" ht="15.75" customHeight="1">
      <c r="B425" s="7"/>
      <c r="C425" s="7"/>
      <c r="D425" s="7"/>
      <c r="E425" s="7"/>
    </row>
    <row r="426" ht="15.75" customHeight="1">
      <c r="B426" s="7"/>
      <c r="C426" s="7"/>
      <c r="D426" s="7"/>
      <c r="E426" s="7"/>
    </row>
    <row r="427" ht="15.75" customHeight="1">
      <c r="B427" s="7"/>
      <c r="C427" s="7"/>
      <c r="D427" s="7"/>
      <c r="E427" s="7"/>
    </row>
    <row r="428" ht="15.75" customHeight="1">
      <c r="B428" s="7"/>
      <c r="C428" s="7"/>
      <c r="D428" s="7"/>
      <c r="E428" s="7"/>
    </row>
    <row r="429" ht="15.75" customHeight="1">
      <c r="B429" s="7"/>
      <c r="C429" s="7"/>
      <c r="D429" s="7"/>
      <c r="E429" s="7"/>
    </row>
    <row r="430" ht="15.75" customHeight="1">
      <c r="B430" s="7"/>
      <c r="C430" s="7"/>
      <c r="D430" s="7"/>
      <c r="E430" s="7"/>
    </row>
    <row r="431" ht="15.75" customHeight="1">
      <c r="B431" s="7"/>
      <c r="C431" s="7"/>
      <c r="D431" s="7"/>
      <c r="E431" s="7"/>
    </row>
    <row r="432" ht="15.75" customHeight="1">
      <c r="B432" s="7"/>
      <c r="C432" s="7"/>
      <c r="D432" s="7"/>
      <c r="E432" s="7"/>
    </row>
    <row r="433" ht="15.75" customHeight="1">
      <c r="B433" s="7"/>
      <c r="C433" s="7"/>
      <c r="D433" s="7"/>
      <c r="E433" s="7"/>
    </row>
    <row r="434" ht="15.75" customHeight="1">
      <c r="B434" s="7"/>
      <c r="C434" s="7"/>
      <c r="D434" s="7"/>
      <c r="E434" s="7"/>
    </row>
    <row r="435" ht="15.75" customHeight="1">
      <c r="B435" s="7"/>
      <c r="C435" s="7"/>
      <c r="D435" s="7"/>
      <c r="E435" s="7"/>
    </row>
    <row r="436" ht="15.75" customHeight="1">
      <c r="B436" s="7"/>
      <c r="C436" s="7"/>
      <c r="D436" s="7"/>
      <c r="E436" s="7"/>
    </row>
    <row r="437" ht="15.75" customHeight="1">
      <c r="B437" s="7"/>
      <c r="C437" s="7"/>
      <c r="D437" s="7"/>
      <c r="E437" s="7"/>
    </row>
    <row r="438" ht="15.75" customHeight="1">
      <c r="B438" s="7"/>
      <c r="C438" s="7"/>
      <c r="D438" s="7"/>
      <c r="E438" s="7"/>
    </row>
    <row r="439" ht="15.75" customHeight="1">
      <c r="B439" s="7"/>
      <c r="C439" s="7"/>
      <c r="D439" s="7"/>
      <c r="E439" s="7"/>
    </row>
    <row r="440" ht="15.75" customHeight="1">
      <c r="B440" s="7"/>
      <c r="C440" s="7"/>
      <c r="D440" s="7"/>
      <c r="E440" s="7"/>
    </row>
    <row r="441" ht="15.75" customHeight="1">
      <c r="B441" s="7"/>
      <c r="C441" s="7"/>
      <c r="D441" s="7"/>
      <c r="E441" s="7"/>
    </row>
    <row r="442" ht="15.75" customHeight="1">
      <c r="B442" s="7"/>
      <c r="C442" s="7"/>
      <c r="D442" s="7"/>
      <c r="E442" s="7"/>
    </row>
    <row r="443" ht="15.75" customHeight="1">
      <c r="B443" s="7"/>
      <c r="C443" s="7"/>
      <c r="D443" s="7"/>
      <c r="E443" s="7"/>
    </row>
    <row r="444" ht="15.75" customHeight="1">
      <c r="B444" s="7"/>
      <c r="C444" s="7"/>
      <c r="D444" s="7"/>
      <c r="E444" s="7"/>
    </row>
    <row r="445" ht="15.75" customHeight="1">
      <c r="B445" s="7"/>
      <c r="C445" s="7"/>
      <c r="D445" s="7"/>
      <c r="E445" s="7"/>
    </row>
    <row r="446" ht="15.75" customHeight="1">
      <c r="B446" s="7"/>
      <c r="C446" s="7"/>
      <c r="D446" s="7"/>
      <c r="E446" s="7"/>
    </row>
    <row r="447" ht="15.75" customHeight="1">
      <c r="B447" s="7"/>
      <c r="C447" s="7"/>
      <c r="D447" s="7"/>
      <c r="E447" s="7"/>
    </row>
    <row r="448" ht="15.75" customHeight="1">
      <c r="B448" s="7"/>
      <c r="C448" s="7"/>
      <c r="D448" s="7"/>
      <c r="E448" s="7"/>
    </row>
    <row r="449" ht="15.75" customHeight="1">
      <c r="B449" s="7"/>
      <c r="C449" s="7"/>
      <c r="D449" s="7"/>
      <c r="E449" s="7"/>
    </row>
    <row r="450" ht="15.75" customHeight="1">
      <c r="B450" s="7"/>
      <c r="C450" s="7"/>
      <c r="D450" s="7"/>
      <c r="E450" s="7"/>
    </row>
    <row r="451" ht="15.75" customHeight="1">
      <c r="B451" s="7"/>
      <c r="C451" s="7"/>
      <c r="D451" s="7"/>
      <c r="E451" s="7"/>
    </row>
    <row r="452" ht="15.75" customHeight="1">
      <c r="B452" s="7"/>
      <c r="C452" s="7"/>
      <c r="D452" s="7"/>
      <c r="E452" s="7"/>
    </row>
    <row r="453" ht="15.75" customHeight="1">
      <c r="B453" s="7"/>
      <c r="C453" s="7"/>
      <c r="D453" s="7"/>
      <c r="E453" s="7"/>
    </row>
    <row r="454" ht="15.75" customHeight="1">
      <c r="B454" s="7"/>
      <c r="C454" s="7"/>
      <c r="D454" s="7"/>
      <c r="E454" s="7"/>
    </row>
    <row r="455" ht="15.75" customHeight="1">
      <c r="B455" s="7"/>
      <c r="C455" s="7"/>
      <c r="D455" s="7"/>
      <c r="E455" s="7"/>
    </row>
    <row r="456" ht="15.75" customHeight="1">
      <c r="B456" s="7"/>
      <c r="C456" s="7"/>
      <c r="D456" s="7"/>
      <c r="E456" s="7"/>
    </row>
    <row r="457" ht="15.75" customHeight="1">
      <c r="B457" s="7"/>
      <c r="C457" s="7"/>
      <c r="D457" s="7"/>
      <c r="E457" s="7"/>
    </row>
    <row r="458" ht="15.75" customHeight="1">
      <c r="B458" s="7"/>
      <c r="C458" s="7"/>
      <c r="D458" s="7"/>
      <c r="E458" s="7"/>
    </row>
    <row r="459" ht="15.75" customHeight="1">
      <c r="B459" s="7"/>
      <c r="C459" s="7"/>
      <c r="D459" s="7"/>
      <c r="E459" s="7"/>
    </row>
    <row r="460" ht="15.75" customHeight="1">
      <c r="B460" s="7"/>
      <c r="C460" s="7"/>
      <c r="D460" s="7"/>
      <c r="E460" s="7"/>
    </row>
    <row r="461" ht="15.75" customHeight="1">
      <c r="B461" s="7"/>
      <c r="C461" s="7"/>
      <c r="D461" s="7"/>
      <c r="E461" s="7"/>
    </row>
    <row r="462" ht="15.75" customHeight="1">
      <c r="B462" s="7"/>
      <c r="C462" s="7"/>
      <c r="D462" s="7"/>
      <c r="E462" s="7"/>
    </row>
    <row r="463" ht="15.75" customHeight="1">
      <c r="B463" s="7"/>
      <c r="C463" s="7"/>
      <c r="D463" s="7"/>
      <c r="E463" s="7"/>
    </row>
    <row r="464" ht="15.75" customHeight="1">
      <c r="B464" s="7"/>
      <c r="C464" s="7"/>
      <c r="D464" s="7"/>
      <c r="E464" s="7"/>
    </row>
    <row r="465" ht="15.75" customHeight="1">
      <c r="B465" s="7"/>
      <c r="C465" s="7"/>
      <c r="D465" s="7"/>
      <c r="E465" s="7"/>
    </row>
    <row r="466" ht="15.75" customHeight="1">
      <c r="B466" s="7"/>
      <c r="C466" s="7"/>
      <c r="D466" s="7"/>
      <c r="E466" s="7"/>
    </row>
    <row r="467" ht="15.75" customHeight="1">
      <c r="B467" s="7"/>
      <c r="C467" s="7"/>
      <c r="D467" s="7"/>
      <c r="E467" s="7"/>
    </row>
    <row r="468" ht="15.75" customHeight="1">
      <c r="B468" s="7"/>
      <c r="C468" s="7"/>
      <c r="D468" s="7"/>
      <c r="E468" s="7"/>
    </row>
    <row r="469" ht="15.75" customHeight="1">
      <c r="B469" s="7"/>
      <c r="C469" s="7"/>
      <c r="D469" s="7"/>
      <c r="E469" s="7"/>
    </row>
    <row r="470" ht="15.75" customHeight="1">
      <c r="B470" s="7"/>
      <c r="C470" s="7"/>
      <c r="D470" s="7"/>
      <c r="E470" s="7"/>
    </row>
    <row r="471" ht="15.75" customHeight="1">
      <c r="B471" s="7"/>
      <c r="C471" s="7"/>
      <c r="D471" s="7"/>
      <c r="E471" s="7"/>
    </row>
    <row r="472" ht="15.75" customHeight="1">
      <c r="B472" s="7"/>
      <c r="C472" s="7"/>
      <c r="D472" s="7"/>
      <c r="E472" s="7"/>
    </row>
    <row r="473" ht="15.75" customHeight="1">
      <c r="B473" s="7"/>
      <c r="C473" s="7"/>
      <c r="D473" s="7"/>
      <c r="E473" s="7"/>
    </row>
    <row r="474" ht="15.75" customHeight="1">
      <c r="B474" s="7"/>
      <c r="C474" s="7"/>
      <c r="D474" s="7"/>
      <c r="E474" s="7"/>
    </row>
    <row r="475" ht="15.75" customHeight="1">
      <c r="B475" s="7"/>
      <c r="C475" s="7"/>
      <c r="D475" s="7"/>
      <c r="E475" s="7"/>
    </row>
    <row r="476" ht="15.75" customHeight="1">
      <c r="B476" s="7"/>
      <c r="C476" s="7"/>
      <c r="D476" s="7"/>
      <c r="E476" s="7"/>
    </row>
    <row r="477" ht="15.75" customHeight="1">
      <c r="B477" s="7"/>
      <c r="C477" s="7"/>
      <c r="D477" s="7"/>
      <c r="E477" s="7"/>
    </row>
    <row r="478" ht="15.75" customHeight="1">
      <c r="B478" s="7"/>
      <c r="C478" s="7"/>
      <c r="D478" s="7"/>
      <c r="E478" s="7"/>
    </row>
    <row r="479" ht="15.75" customHeight="1">
      <c r="B479" s="7"/>
      <c r="C479" s="7"/>
      <c r="D479" s="7"/>
      <c r="E479" s="7"/>
    </row>
    <row r="480" ht="15.75" customHeight="1">
      <c r="B480" s="7"/>
      <c r="C480" s="7"/>
      <c r="D480" s="7"/>
      <c r="E480" s="7"/>
    </row>
    <row r="481" ht="15.75" customHeight="1">
      <c r="B481" s="7"/>
      <c r="C481" s="7"/>
      <c r="D481" s="7"/>
      <c r="E481" s="7"/>
    </row>
    <row r="482" ht="15.75" customHeight="1">
      <c r="B482" s="7"/>
      <c r="C482" s="7"/>
      <c r="D482" s="7"/>
      <c r="E482" s="7"/>
    </row>
    <row r="483" ht="15.75" customHeight="1">
      <c r="B483" s="7"/>
      <c r="C483" s="7"/>
      <c r="D483" s="7"/>
      <c r="E483" s="7"/>
    </row>
    <row r="484" ht="15.75" customHeight="1">
      <c r="B484" s="7"/>
      <c r="C484" s="7"/>
      <c r="D484" s="7"/>
      <c r="E484" s="7"/>
    </row>
    <row r="485" ht="15.75" customHeight="1">
      <c r="B485" s="7"/>
      <c r="C485" s="7"/>
      <c r="D485" s="7"/>
      <c r="E485" s="7"/>
    </row>
    <row r="486" ht="15.75" customHeight="1">
      <c r="B486" s="7"/>
      <c r="C486" s="7"/>
      <c r="D486" s="7"/>
      <c r="E486" s="7"/>
    </row>
    <row r="487" ht="15.75" customHeight="1">
      <c r="B487" s="7"/>
      <c r="C487" s="7"/>
      <c r="D487" s="7"/>
      <c r="E487" s="7"/>
    </row>
    <row r="488" ht="15.75" customHeight="1">
      <c r="B488" s="7"/>
      <c r="C488" s="7"/>
      <c r="D488" s="7"/>
      <c r="E488" s="7"/>
    </row>
    <row r="489" ht="15.75" customHeight="1">
      <c r="B489" s="7"/>
      <c r="C489" s="7"/>
      <c r="D489" s="7"/>
      <c r="E489" s="7"/>
    </row>
    <row r="490" ht="15.75" customHeight="1">
      <c r="B490" s="7"/>
      <c r="C490" s="7"/>
      <c r="D490" s="7"/>
      <c r="E490" s="7"/>
    </row>
    <row r="491" ht="15.75" customHeight="1">
      <c r="B491" s="7"/>
      <c r="C491" s="7"/>
      <c r="D491" s="7"/>
      <c r="E491" s="7"/>
    </row>
    <row r="492" ht="15.75" customHeight="1">
      <c r="B492" s="7"/>
      <c r="C492" s="7"/>
      <c r="D492" s="7"/>
      <c r="E492" s="7"/>
    </row>
    <row r="493" ht="15.75" customHeight="1">
      <c r="B493" s="7"/>
      <c r="C493" s="7"/>
      <c r="D493" s="7"/>
      <c r="E493" s="7"/>
    </row>
    <row r="494" ht="15.75" customHeight="1">
      <c r="B494" s="7"/>
      <c r="C494" s="7"/>
      <c r="D494" s="7"/>
      <c r="E494" s="7"/>
    </row>
    <row r="495" ht="15.75" customHeight="1">
      <c r="B495" s="7"/>
      <c r="C495" s="7"/>
      <c r="D495" s="7"/>
      <c r="E495" s="7"/>
    </row>
    <row r="496" ht="15.75" customHeight="1">
      <c r="B496" s="7"/>
      <c r="C496" s="7"/>
      <c r="D496" s="7"/>
      <c r="E496" s="7"/>
    </row>
    <row r="497" ht="15.75" customHeight="1">
      <c r="B497" s="7"/>
      <c r="C497" s="7"/>
      <c r="D497" s="7"/>
      <c r="E497" s="7"/>
    </row>
    <row r="498" ht="15.75" customHeight="1">
      <c r="B498" s="7"/>
      <c r="C498" s="7"/>
      <c r="D498" s="7"/>
      <c r="E498" s="7"/>
    </row>
    <row r="499" ht="15.75" customHeight="1">
      <c r="B499" s="7"/>
      <c r="C499" s="7"/>
      <c r="D499" s="7"/>
      <c r="E499" s="7"/>
    </row>
    <row r="500" ht="15.75" customHeight="1">
      <c r="B500" s="7"/>
      <c r="C500" s="7"/>
      <c r="D500" s="7"/>
      <c r="E500" s="7"/>
    </row>
    <row r="501" ht="15.75" customHeight="1">
      <c r="B501" s="7"/>
      <c r="C501" s="7"/>
      <c r="D501" s="7"/>
      <c r="E501" s="7"/>
    </row>
    <row r="502" ht="15.75" customHeight="1">
      <c r="B502" s="7"/>
      <c r="C502" s="7"/>
      <c r="D502" s="7"/>
      <c r="E502" s="7"/>
    </row>
    <row r="503" ht="15.75" customHeight="1">
      <c r="B503" s="7"/>
      <c r="C503" s="7"/>
      <c r="D503" s="7"/>
      <c r="E503" s="7"/>
    </row>
    <row r="504" ht="15.75" customHeight="1">
      <c r="B504" s="7"/>
      <c r="C504" s="7"/>
      <c r="D504" s="7"/>
      <c r="E504" s="7"/>
    </row>
    <row r="505" ht="15.75" customHeight="1">
      <c r="B505" s="7"/>
      <c r="C505" s="7"/>
      <c r="D505" s="7"/>
      <c r="E505" s="7"/>
    </row>
    <row r="506" ht="15.75" customHeight="1">
      <c r="B506" s="7"/>
      <c r="C506" s="7"/>
      <c r="D506" s="7"/>
      <c r="E506" s="7"/>
    </row>
    <row r="507" ht="15.75" customHeight="1">
      <c r="B507" s="7"/>
      <c r="C507" s="7"/>
      <c r="D507" s="7"/>
      <c r="E507" s="7"/>
    </row>
    <row r="508" ht="15.75" customHeight="1">
      <c r="B508" s="7"/>
      <c r="C508" s="7"/>
      <c r="D508" s="7"/>
      <c r="E508" s="7"/>
    </row>
    <row r="509" ht="15.75" customHeight="1">
      <c r="B509" s="7"/>
      <c r="C509" s="7"/>
      <c r="D509" s="7"/>
      <c r="E509" s="7"/>
    </row>
    <row r="510" ht="15.75" customHeight="1">
      <c r="B510" s="7"/>
      <c r="C510" s="7"/>
      <c r="D510" s="7"/>
      <c r="E510" s="7"/>
    </row>
    <row r="511" ht="15.75" customHeight="1">
      <c r="B511" s="7"/>
      <c r="C511" s="7"/>
      <c r="D511" s="7"/>
      <c r="E511" s="7"/>
    </row>
    <row r="512" ht="15.75" customHeight="1">
      <c r="B512" s="7"/>
      <c r="C512" s="7"/>
      <c r="D512" s="7"/>
      <c r="E512" s="7"/>
    </row>
    <row r="513" ht="15.75" customHeight="1">
      <c r="B513" s="7"/>
      <c r="C513" s="7"/>
      <c r="D513" s="7"/>
      <c r="E513" s="7"/>
    </row>
    <row r="514" ht="15.75" customHeight="1">
      <c r="B514" s="7"/>
      <c r="C514" s="7"/>
      <c r="D514" s="7"/>
      <c r="E514" s="7"/>
    </row>
    <row r="515" ht="15.75" customHeight="1">
      <c r="B515" s="7"/>
      <c r="C515" s="7"/>
      <c r="D515" s="7"/>
      <c r="E515" s="7"/>
    </row>
    <row r="516" ht="15.75" customHeight="1">
      <c r="B516" s="7"/>
      <c r="C516" s="7"/>
      <c r="D516" s="7"/>
      <c r="E516" s="7"/>
    </row>
    <row r="517" ht="15.75" customHeight="1">
      <c r="B517" s="7"/>
      <c r="C517" s="7"/>
      <c r="D517" s="7"/>
      <c r="E517" s="7"/>
    </row>
    <row r="518" ht="15.75" customHeight="1">
      <c r="B518" s="7"/>
      <c r="C518" s="7"/>
      <c r="D518" s="7"/>
      <c r="E518" s="7"/>
    </row>
    <row r="519" ht="15.75" customHeight="1">
      <c r="B519" s="7"/>
      <c r="C519" s="7"/>
      <c r="D519" s="7"/>
      <c r="E519" s="7"/>
    </row>
    <row r="520" ht="15.75" customHeight="1">
      <c r="B520" s="7"/>
      <c r="C520" s="7"/>
      <c r="D520" s="7"/>
      <c r="E520" s="7"/>
    </row>
    <row r="521" ht="15.75" customHeight="1">
      <c r="B521" s="7"/>
      <c r="C521" s="7"/>
      <c r="D521" s="7"/>
      <c r="E521" s="7"/>
    </row>
    <row r="522" ht="15.75" customHeight="1">
      <c r="B522" s="7"/>
      <c r="C522" s="7"/>
      <c r="D522" s="7"/>
      <c r="E522" s="7"/>
    </row>
    <row r="523" ht="15.75" customHeight="1">
      <c r="B523" s="7"/>
      <c r="C523" s="7"/>
      <c r="D523" s="7"/>
      <c r="E523" s="7"/>
    </row>
    <row r="524" ht="15.75" customHeight="1">
      <c r="B524" s="7"/>
      <c r="C524" s="7"/>
      <c r="D524" s="7"/>
      <c r="E524" s="7"/>
    </row>
    <row r="525" ht="15.75" customHeight="1">
      <c r="B525" s="7"/>
      <c r="C525" s="7"/>
      <c r="D525" s="7"/>
      <c r="E525" s="7"/>
    </row>
    <row r="526" ht="15.75" customHeight="1">
      <c r="B526" s="7"/>
      <c r="C526" s="7"/>
      <c r="D526" s="7"/>
      <c r="E526" s="7"/>
    </row>
    <row r="527" ht="15.75" customHeight="1">
      <c r="B527" s="7"/>
      <c r="C527" s="7"/>
      <c r="D527" s="7"/>
      <c r="E527" s="7"/>
    </row>
    <row r="528" ht="15.75" customHeight="1">
      <c r="B528" s="7"/>
      <c r="C528" s="7"/>
      <c r="D528" s="7"/>
      <c r="E528" s="7"/>
    </row>
    <row r="529" ht="15.75" customHeight="1">
      <c r="B529" s="7"/>
      <c r="C529" s="7"/>
      <c r="D529" s="7"/>
      <c r="E529" s="7"/>
    </row>
    <row r="530" ht="15.75" customHeight="1">
      <c r="B530" s="7"/>
      <c r="C530" s="7"/>
      <c r="D530" s="7"/>
      <c r="E530" s="7"/>
    </row>
    <row r="531" ht="15.75" customHeight="1">
      <c r="B531" s="7"/>
      <c r="C531" s="7"/>
      <c r="D531" s="7"/>
      <c r="E531" s="7"/>
    </row>
    <row r="532" ht="15.75" customHeight="1">
      <c r="B532" s="7"/>
      <c r="C532" s="7"/>
      <c r="D532" s="7"/>
      <c r="E532" s="7"/>
    </row>
    <row r="533" ht="15.75" customHeight="1">
      <c r="B533" s="7"/>
      <c r="C533" s="7"/>
      <c r="D533" s="7"/>
      <c r="E533" s="7"/>
    </row>
    <row r="534" ht="15.75" customHeight="1">
      <c r="B534" s="7"/>
      <c r="C534" s="7"/>
      <c r="D534" s="7"/>
      <c r="E534" s="7"/>
    </row>
    <row r="535" ht="15.75" customHeight="1">
      <c r="B535" s="7"/>
      <c r="C535" s="7"/>
      <c r="D535" s="7"/>
      <c r="E535" s="7"/>
    </row>
    <row r="536" ht="15.75" customHeight="1">
      <c r="B536" s="7"/>
      <c r="C536" s="7"/>
      <c r="D536" s="7"/>
      <c r="E536" s="7"/>
    </row>
    <row r="537" ht="15.75" customHeight="1">
      <c r="B537" s="7"/>
      <c r="C537" s="7"/>
      <c r="D537" s="7"/>
      <c r="E537" s="7"/>
    </row>
    <row r="538" ht="15.75" customHeight="1">
      <c r="B538" s="7"/>
      <c r="C538" s="7"/>
      <c r="D538" s="7"/>
      <c r="E538" s="7"/>
    </row>
    <row r="539" ht="15.75" customHeight="1">
      <c r="B539" s="7"/>
      <c r="C539" s="7"/>
      <c r="D539" s="7"/>
      <c r="E539" s="7"/>
    </row>
    <row r="540" ht="15.75" customHeight="1">
      <c r="B540" s="7"/>
      <c r="C540" s="7"/>
      <c r="D540" s="7"/>
      <c r="E540" s="7"/>
    </row>
    <row r="541" ht="15.75" customHeight="1">
      <c r="B541" s="7"/>
      <c r="C541" s="7"/>
      <c r="D541" s="7"/>
      <c r="E541" s="7"/>
    </row>
    <row r="542" ht="15.75" customHeight="1">
      <c r="B542" s="7"/>
      <c r="C542" s="7"/>
      <c r="D542" s="7"/>
      <c r="E542" s="7"/>
    </row>
    <row r="543" ht="15.75" customHeight="1">
      <c r="B543" s="7"/>
      <c r="C543" s="7"/>
      <c r="D543" s="7"/>
      <c r="E543" s="7"/>
    </row>
    <row r="544" ht="15.75" customHeight="1">
      <c r="B544" s="7"/>
      <c r="C544" s="7"/>
      <c r="D544" s="7"/>
      <c r="E544" s="7"/>
    </row>
    <row r="545" ht="15.75" customHeight="1">
      <c r="B545" s="7"/>
      <c r="C545" s="7"/>
      <c r="D545" s="7"/>
      <c r="E545" s="7"/>
    </row>
    <row r="546" ht="15.75" customHeight="1">
      <c r="B546" s="7"/>
      <c r="C546" s="7"/>
      <c r="D546" s="7"/>
      <c r="E546" s="7"/>
    </row>
    <row r="547" ht="15.75" customHeight="1">
      <c r="B547" s="7"/>
      <c r="C547" s="7"/>
      <c r="D547" s="7"/>
      <c r="E547" s="7"/>
    </row>
    <row r="548" ht="15.75" customHeight="1">
      <c r="B548" s="7"/>
      <c r="C548" s="7"/>
      <c r="D548" s="7"/>
      <c r="E548" s="7"/>
    </row>
    <row r="549" ht="15.75" customHeight="1">
      <c r="B549" s="7"/>
      <c r="C549" s="7"/>
      <c r="D549" s="7"/>
      <c r="E549" s="7"/>
    </row>
    <row r="550" ht="15.75" customHeight="1">
      <c r="B550" s="7"/>
      <c r="C550" s="7"/>
      <c r="D550" s="7"/>
      <c r="E550" s="7"/>
    </row>
    <row r="551" ht="15.75" customHeight="1">
      <c r="B551" s="7"/>
      <c r="C551" s="7"/>
      <c r="D551" s="7"/>
      <c r="E551" s="7"/>
    </row>
    <row r="552" ht="15.75" customHeight="1">
      <c r="B552" s="7"/>
      <c r="C552" s="7"/>
      <c r="D552" s="7"/>
      <c r="E552" s="7"/>
    </row>
    <row r="553" ht="15.75" customHeight="1">
      <c r="B553" s="7"/>
      <c r="C553" s="7"/>
      <c r="D553" s="7"/>
      <c r="E553" s="7"/>
    </row>
    <row r="554" ht="15.75" customHeight="1">
      <c r="B554" s="7"/>
      <c r="C554" s="7"/>
      <c r="D554" s="7"/>
      <c r="E554" s="7"/>
    </row>
    <row r="555" ht="15.75" customHeight="1">
      <c r="B555" s="7"/>
      <c r="C555" s="7"/>
      <c r="D555" s="7"/>
      <c r="E555" s="7"/>
    </row>
    <row r="556" ht="15.75" customHeight="1">
      <c r="B556" s="7"/>
      <c r="C556" s="7"/>
      <c r="D556" s="7"/>
      <c r="E556" s="7"/>
    </row>
    <row r="557" ht="15.75" customHeight="1">
      <c r="B557" s="7"/>
      <c r="C557" s="7"/>
      <c r="D557" s="7"/>
      <c r="E557" s="7"/>
    </row>
    <row r="558" ht="15.75" customHeight="1">
      <c r="B558" s="7"/>
      <c r="C558" s="7"/>
      <c r="D558" s="7"/>
      <c r="E558" s="7"/>
    </row>
    <row r="559" ht="15.75" customHeight="1">
      <c r="B559" s="7"/>
      <c r="C559" s="7"/>
      <c r="D559" s="7"/>
      <c r="E559" s="7"/>
    </row>
    <row r="560" ht="15.75" customHeight="1">
      <c r="B560" s="7"/>
      <c r="C560" s="7"/>
      <c r="D560" s="7"/>
      <c r="E560" s="7"/>
    </row>
    <row r="561" ht="15.75" customHeight="1">
      <c r="B561" s="7"/>
      <c r="C561" s="7"/>
      <c r="D561" s="7"/>
      <c r="E561" s="7"/>
    </row>
    <row r="562" ht="15.75" customHeight="1">
      <c r="B562" s="7"/>
      <c r="C562" s="7"/>
      <c r="D562" s="7"/>
      <c r="E562" s="7"/>
    </row>
    <row r="563" ht="15.75" customHeight="1">
      <c r="B563" s="7"/>
      <c r="C563" s="7"/>
      <c r="D563" s="7"/>
      <c r="E563" s="7"/>
    </row>
    <row r="564" ht="15.75" customHeight="1">
      <c r="B564" s="7"/>
      <c r="C564" s="7"/>
      <c r="D564" s="7"/>
      <c r="E564" s="7"/>
    </row>
    <row r="565" ht="15.75" customHeight="1">
      <c r="B565" s="7"/>
      <c r="C565" s="7"/>
      <c r="D565" s="7"/>
      <c r="E565" s="7"/>
    </row>
    <row r="566" ht="15.75" customHeight="1">
      <c r="B566" s="7"/>
      <c r="C566" s="7"/>
      <c r="D566" s="7"/>
      <c r="E566" s="7"/>
    </row>
    <row r="567" ht="15.75" customHeight="1">
      <c r="B567" s="7"/>
      <c r="C567" s="7"/>
      <c r="D567" s="7"/>
      <c r="E567" s="7"/>
    </row>
    <row r="568" ht="15.75" customHeight="1">
      <c r="B568" s="7"/>
      <c r="C568" s="7"/>
      <c r="D568" s="7"/>
      <c r="E568" s="7"/>
    </row>
    <row r="569" ht="15.75" customHeight="1">
      <c r="B569" s="7"/>
      <c r="C569" s="7"/>
      <c r="D569" s="7"/>
      <c r="E569" s="7"/>
    </row>
    <row r="570" ht="15.75" customHeight="1">
      <c r="B570" s="7"/>
      <c r="C570" s="7"/>
      <c r="D570" s="7"/>
      <c r="E570" s="7"/>
    </row>
    <row r="571" ht="15.75" customHeight="1">
      <c r="B571" s="7"/>
      <c r="C571" s="7"/>
      <c r="D571" s="7"/>
      <c r="E571" s="7"/>
    </row>
    <row r="572" ht="15.75" customHeight="1">
      <c r="B572" s="7"/>
      <c r="C572" s="7"/>
      <c r="D572" s="7"/>
      <c r="E572" s="7"/>
    </row>
    <row r="573" ht="15.75" customHeight="1">
      <c r="B573" s="7"/>
      <c r="C573" s="7"/>
      <c r="D573" s="7"/>
      <c r="E573" s="7"/>
    </row>
    <row r="574" ht="15.75" customHeight="1">
      <c r="B574" s="7"/>
      <c r="C574" s="7"/>
      <c r="D574" s="7"/>
      <c r="E574" s="7"/>
    </row>
    <row r="575" ht="15.75" customHeight="1">
      <c r="B575" s="7"/>
      <c r="C575" s="7"/>
      <c r="D575" s="7"/>
      <c r="E575" s="7"/>
    </row>
    <row r="576" ht="15.75" customHeight="1">
      <c r="B576" s="7"/>
      <c r="C576" s="7"/>
      <c r="D576" s="7"/>
      <c r="E576" s="7"/>
    </row>
    <row r="577" ht="15.75" customHeight="1">
      <c r="B577" s="7"/>
      <c r="C577" s="7"/>
      <c r="D577" s="7"/>
      <c r="E577" s="7"/>
    </row>
    <row r="578" ht="15.75" customHeight="1">
      <c r="B578" s="7"/>
      <c r="C578" s="7"/>
      <c r="D578" s="7"/>
      <c r="E578" s="7"/>
    </row>
    <row r="579" ht="15.75" customHeight="1">
      <c r="B579" s="7"/>
      <c r="C579" s="7"/>
      <c r="D579" s="7"/>
      <c r="E579" s="7"/>
    </row>
    <row r="580" ht="15.75" customHeight="1">
      <c r="B580" s="7"/>
      <c r="C580" s="7"/>
      <c r="D580" s="7"/>
      <c r="E580" s="7"/>
    </row>
    <row r="581" ht="15.75" customHeight="1">
      <c r="B581" s="7"/>
      <c r="C581" s="7"/>
      <c r="D581" s="7"/>
      <c r="E581" s="7"/>
    </row>
    <row r="582" ht="15.75" customHeight="1">
      <c r="B582" s="7"/>
      <c r="C582" s="7"/>
      <c r="D582" s="7"/>
      <c r="E582" s="7"/>
    </row>
    <row r="583" ht="15.75" customHeight="1">
      <c r="B583" s="7"/>
      <c r="C583" s="7"/>
      <c r="D583" s="7"/>
      <c r="E583" s="7"/>
    </row>
    <row r="584" ht="15.75" customHeight="1">
      <c r="B584" s="7"/>
      <c r="C584" s="7"/>
      <c r="D584" s="7"/>
      <c r="E584" s="7"/>
    </row>
    <row r="585" ht="15.75" customHeight="1">
      <c r="B585" s="7"/>
      <c r="C585" s="7"/>
      <c r="D585" s="7"/>
      <c r="E585" s="7"/>
    </row>
    <row r="586" ht="15.75" customHeight="1">
      <c r="B586" s="7"/>
      <c r="C586" s="7"/>
      <c r="D586" s="7"/>
      <c r="E586" s="7"/>
    </row>
    <row r="587" ht="15.75" customHeight="1">
      <c r="B587" s="7"/>
      <c r="C587" s="7"/>
      <c r="D587" s="7"/>
      <c r="E587" s="7"/>
    </row>
    <row r="588" ht="15.75" customHeight="1">
      <c r="B588" s="7"/>
      <c r="C588" s="7"/>
      <c r="D588" s="7"/>
      <c r="E588" s="7"/>
    </row>
    <row r="589" ht="15.75" customHeight="1">
      <c r="B589" s="7"/>
      <c r="C589" s="7"/>
      <c r="D589" s="7"/>
      <c r="E589" s="7"/>
    </row>
    <row r="590" ht="15.75" customHeight="1">
      <c r="B590" s="7"/>
      <c r="C590" s="7"/>
      <c r="D590" s="7"/>
      <c r="E590" s="7"/>
    </row>
    <row r="591" ht="15.75" customHeight="1">
      <c r="B591" s="7"/>
      <c r="C591" s="7"/>
      <c r="D591" s="7"/>
      <c r="E591" s="7"/>
    </row>
    <row r="592" ht="15.75" customHeight="1">
      <c r="B592" s="7"/>
      <c r="C592" s="7"/>
      <c r="D592" s="7"/>
      <c r="E592" s="7"/>
    </row>
    <row r="593" ht="15.75" customHeight="1">
      <c r="B593" s="7"/>
      <c r="C593" s="7"/>
      <c r="D593" s="7"/>
      <c r="E593" s="7"/>
    </row>
    <row r="594" ht="15.75" customHeight="1">
      <c r="B594" s="7"/>
      <c r="C594" s="7"/>
      <c r="D594" s="7"/>
      <c r="E594" s="7"/>
    </row>
    <row r="595" ht="15.75" customHeight="1">
      <c r="B595" s="7"/>
      <c r="C595" s="7"/>
      <c r="D595" s="7"/>
      <c r="E595" s="7"/>
    </row>
    <row r="596" ht="15.75" customHeight="1">
      <c r="B596" s="7"/>
      <c r="C596" s="7"/>
      <c r="D596" s="7"/>
      <c r="E596" s="7"/>
    </row>
    <row r="597" ht="15.75" customHeight="1">
      <c r="B597" s="7"/>
      <c r="C597" s="7"/>
      <c r="D597" s="7"/>
      <c r="E597" s="7"/>
    </row>
    <row r="598" ht="15.75" customHeight="1">
      <c r="B598" s="7"/>
      <c r="C598" s="7"/>
      <c r="D598" s="7"/>
      <c r="E598" s="7"/>
    </row>
    <row r="599" ht="15.75" customHeight="1">
      <c r="B599" s="7"/>
      <c r="C599" s="7"/>
      <c r="D599" s="7"/>
      <c r="E599" s="7"/>
    </row>
    <row r="600" ht="15.75" customHeight="1">
      <c r="B600" s="7"/>
      <c r="C600" s="7"/>
      <c r="D600" s="7"/>
      <c r="E600" s="7"/>
    </row>
    <row r="601" ht="15.75" customHeight="1">
      <c r="B601" s="7"/>
      <c r="C601" s="7"/>
      <c r="D601" s="7"/>
      <c r="E601" s="7"/>
    </row>
    <row r="602" ht="15.75" customHeight="1">
      <c r="B602" s="7"/>
      <c r="C602" s="7"/>
      <c r="D602" s="7"/>
      <c r="E602" s="7"/>
    </row>
    <row r="603" ht="15.75" customHeight="1">
      <c r="B603" s="7"/>
      <c r="C603" s="7"/>
      <c r="D603" s="7"/>
      <c r="E603" s="7"/>
    </row>
    <row r="604" ht="15.75" customHeight="1">
      <c r="B604" s="7"/>
      <c r="C604" s="7"/>
      <c r="D604" s="7"/>
      <c r="E604" s="7"/>
    </row>
    <row r="605" ht="15.75" customHeight="1">
      <c r="B605" s="7"/>
      <c r="C605" s="7"/>
      <c r="D605" s="7"/>
      <c r="E605" s="7"/>
    </row>
    <row r="606" ht="15.75" customHeight="1">
      <c r="B606" s="7"/>
      <c r="C606" s="7"/>
      <c r="D606" s="7"/>
      <c r="E606" s="7"/>
    </row>
    <row r="607" ht="15.75" customHeight="1">
      <c r="B607" s="7"/>
      <c r="C607" s="7"/>
      <c r="D607" s="7"/>
      <c r="E607" s="7"/>
    </row>
    <row r="608" ht="15.75" customHeight="1">
      <c r="B608" s="7"/>
      <c r="C608" s="7"/>
      <c r="D608" s="7"/>
      <c r="E608" s="7"/>
    </row>
    <row r="609" ht="15.75" customHeight="1">
      <c r="B609" s="7"/>
      <c r="C609" s="7"/>
      <c r="D609" s="7"/>
      <c r="E609" s="7"/>
    </row>
    <row r="610" ht="15.75" customHeight="1">
      <c r="B610" s="7"/>
      <c r="C610" s="7"/>
      <c r="D610" s="7"/>
      <c r="E610" s="7"/>
    </row>
    <row r="611" ht="15.75" customHeight="1">
      <c r="B611" s="7"/>
      <c r="C611" s="7"/>
      <c r="D611" s="7"/>
      <c r="E611" s="7"/>
    </row>
    <row r="612" ht="15.75" customHeight="1">
      <c r="B612" s="7"/>
      <c r="C612" s="7"/>
      <c r="D612" s="7"/>
      <c r="E612" s="7"/>
    </row>
    <row r="613" ht="15.75" customHeight="1">
      <c r="B613" s="7"/>
      <c r="C613" s="7"/>
      <c r="D613" s="7"/>
      <c r="E613" s="7"/>
    </row>
    <row r="614" ht="15.75" customHeight="1">
      <c r="B614" s="7"/>
      <c r="C614" s="7"/>
      <c r="D614" s="7"/>
      <c r="E614" s="7"/>
    </row>
    <row r="615" ht="15.75" customHeight="1">
      <c r="B615" s="7"/>
      <c r="C615" s="7"/>
      <c r="D615" s="7"/>
      <c r="E615" s="7"/>
    </row>
    <row r="616" ht="15.75" customHeight="1">
      <c r="B616" s="7"/>
      <c r="C616" s="7"/>
      <c r="D616" s="7"/>
      <c r="E616" s="7"/>
    </row>
    <row r="617" ht="15.75" customHeight="1">
      <c r="B617" s="7"/>
      <c r="C617" s="7"/>
      <c r="D617" s="7"/>
      <c r="E617" s="7"/>
    </row>
    <row r="618" ht="15.75" customHeight="1">
      <c r="B618" s="7"/>
      <c r="C618" s="7"/>
      <c r="D618" s="7"/>
      <c r="E618" s="7"/>
    </row>
    <row r="619" ht="15.75" customHeight="1">
      <c r="B619" s="7"/>
      <c r="C619" s="7"/>
      <c r="D619" s="7"/>
      <c r="E619" s="7"/>
    </row>
    <row r="620" ht="15.75" customHeight="1">
      <c r="B620" s="7"/>
      <c r="C620" s="7"/>
      <c r="D620" s="7"/>
      <c r="E620" s="7"/>
    </row>
    <row r="621" ht="15.75" customHeight="1">
      <c r="B621" s="7"/>
      <c r="C621" s="7"/>
      <c r="D621" s="7"/>
      <c r="E621" s="7"/>
    </row>
    <row r="622" ht="15.75" customHeight="1">
      <c r="B622" s="7"/>
      <c r="C622" s="7"/>
      <c r="D622" s="7"/>
      <c r="E622" s="7"/>
    </row>
    <row r="623" ht="15.75" customHeight="1">
      <c r="B623" s="7"/>
      <c r="C623" s="7"/>
      <c r="D623" s="7"/>
      <c r="E623" s="7"/>
    </row>
    <row r="624" ht="15.75" customHeight="1">
      <c r="B624" s="7"/>
      <c r="C624" s="7"/>
      <c r="D624" s="7"/>
      <c r="E624" s="7"/>
    </row>
    <row r="625" ht="15.75" customHeight="1">
      <c r="B625" s="7"/>
      <c r="C625" s="7"/>
      <c r="D625" s="7"/>
      <c r="E625" s="7"/>
    </row>
    <row r="626" ht="15.75" customHeight="1">
      <c r="B626" s="7"/>
      <c r="C626" s="7"/>
      <c r="D626" s="7"/>
      <c r="E626" s="7"/>
    </row>
    <row r="627" ht="15.75" customHeight="1">
      <c r="B627" s="7"/>
      <c r="C627" s="7"/>
      <c r="D627" s="7"/>
      <c r="E627" s="7"/>
    </row>
    <row r="628" ht="15.75" customHeight="1">
      <c r="B628" s="7"/>
      <c r="C628" s="7"/>
      <c r="D628" s="7"/>
      <c r="E628" s="7"/>
    </row>
    <row r="629" ht="15.75" customHeight="1">
      <c r="B629" s="7"/>
      <c r="C629" s="7"/>
      <c r="D629" s="7"/>
      <c r="E629" s="7"/>
    </row>
    <row r="630" ht="15.75" customHeight="1">
      <c r="B630" s="7"/>
      <c r="C630" s="7"/>
      <c r="D630" s="7"/>
      <c r="E630" s="7"/>
    </row>
    <row r="631" ht="15.75" customHeight="1">
      <c r="B631" s="7"/>
      <c r="C631" s="7"/>
      <c r="D631" s="7"/>
      <c r="E631" s="7"/>
    </row>
    <row r="632" ht="15.75" customHeight="1">
      <c r="B632" s="7"/>
      <c r="C632" s="7"/>
      <c r="D632" s="7"/>
      <c r="E632" s="7"/>
    </row>
    <row r="633" ht="15.75" customHeight="1">
      <c r="B633" s="7"/>
      <c r="C633" s="7"/>
      <c r="D633" s="7"/>
      <c r="E633" s="7"/>
    </row>
    <row r="634" ht="15.75" customHeight="1">
      <c r="B634" s="7"/>
      <c r="C634" s="7"/>
      <c r="D634" s="7"/>
      <c r="E634" s="7"/>
    </row>
    <row r="635" ht="15.75" customHeight="1">
      <c r="B635" s="7"/>
      <c r="C635" s="7"/>
      <c r="D635" s="7"/>
      <c r="E635" s="7"/>
    </row>
    <row r="636" ht="15.75" customHeight="1">
      <c r="B636" s="7"/>
      <c r="C636" s="7"/>
      <c r="D636" s="7"/>
      <c r="E636" s="7"/>
    </row>
    <row r="637" ht="15.75" customHeight="1">
      <c r="B637" s="7"/>
      <c r="C637" s="7"/>
      <c r="D637" s="7"/>
      <c r="E637" s="7"/>
    </row>
    <row r="638" ht="15.75" customHeight="1">
      <c r="B638" s="7"/>
      <c r="C638" s="7"/>
      <c r="D638" s="7"/>
      <c r="E638" s="7"/>
    </row>
    <row r="639" ht="15.75" customHeight="1">
      <c r="B639" s="7"/>
      <c r="C639" s="7"/>
      <c r="D639" s="7"/>
      <c r="E639" s="7"/>
    </row>
    <row r="640" ht="15.75" customHeight="1">
      <c r="B640" s="7"/>
      <c r="C640" s="7"/>
      <c r="D640" s="7"/>
      <c r="E640" s="7"/>
    </row>
    <row r="641" ht="15.75" customHeight="1">
      <c r="B641" s="7"/>
      <c r="C641" s="7"/>
      <c r="D641" s="7"/>
      <c r="E641" s="7"/>
    </row>
    <row r="642" ht="15.75" customHeight="1">
      <c r="B642" s="7"/>
      <c r="C642" s="7"/>
      <c r="D642" s="7"/>
      <c r="E642" s="7"/>
    </row>
    <row r="643" ht="15.75" customHeight="1">
      <c r="B643" s="7"/>
      <c r="C643" s="7"/>
      <c r="D643" s="7"/>
      <c r="E643" s="7"/>
    </row>
    <row r="644" ht="15.75" customHeight="1">
      <c r="B644" s="7"/>
      <c r="C644" s="7"/>
      <c r="D644" s="7"/>
      <c r="E644" s="7"/>
    </row>
    <row r="645" ht="15.75" customHeight="1">
      <c r="B645" s="7"/>
      <c r="C645" s="7"/>
      <c r="D645" s="7"/>
      <c r="E645" s="7"/>
    </row>
    <row r="646" ht="15.75" customHeight="1">
      <c r="B646" s="7"/>
      <c r="C646" s="7"/>
      <c r="D646" s="7"/>
      <c r="E646" s="7"/>
    </row>
    <row r="647" ht="15.75" customHeight="1">
      <c r="B647" s="7"/>
      <c r="C647" s="7"/>
      <c r="D647" s="7"/>
      <c r="E647" s="7"/>
    </row>
    <row r="648" ht="15.75" customHeight="1">
      <c r="B648" s="7"/>
      <c r="C648" s="7"/>
      <c r="D648" s="7"/>
      <c r="E648" s="7"/>
    </row>
    <row r="649" ht="15.75" customHeight="1">
      <c r="B649" s="7"/>
      <c r="C649" s="7"/>
      <c r="D649" s="7"/>
      <c r="E649" s="7"/>
    </row>
    <row r="650" ht="15.75" customHeight="1">
      <c r="B650" s="7"/>
      <c r="C650" s="7"/>
      <c r="D650" s="7"/>
      <c r="E650" s="7"/>
    </row>
    <row r="651" ht="15.75" customHeight="1">
      <c r="B651" s="7"/>
      <c r="C651" s="7"/>
      <c r="D651" s="7"/>
      <c r="E651" s="7"/>
    </row>
    <row r="652" ht="15.75" customHeight="1">
      <c r="B652" s="7"/>
      <c r="C652" s="7"/>
      <c r="D652" s="7"/>
      <c r="E652" s="7"/>
    </row>
    <row r="653" ht="15.75" customHeight="1">
      <c r="B653" s="7"/>
      <c r="C653" s="7"/>
      <c r="D653" s="7"/>
      <c r="E653" s="7"/>
    </row>
    <row r="654" ht="15.75" customHeight="1">
      <c r="B654" s="7"/>
      <c r="C654" s="7"/>
      <c r="D654" s="7"/>
      <c r="E654" s="7"/>
    </row>
    <row r="655" ht="15.75" customHeight="1">
      <c r="B655" s="7"/>
      <c r="C655" s="7"/>
      <c r="D655" s="7"/>
      <c r="E655" s="7"/>
    </row>
    <row r="656" ht="15.75" customHeight="1">
      <c r="B656" s="7"/>
      <c r="C656" s="7"/>
      <c r="D656" s="7"/>
      <c r="E656" s="7"/>
    </row>
    <row r="657" ht="15.75" customHeight="1">
      <c r="B657" s="7"/>
      <c r="C657" s="7"/>
      <c r="D657" s="7"/>
      <c r="E657" s="7"/>
    </row>
    <row r="658" ht="15.75" customHeight="1">
      <c r="B658" s="7"/>
      <c r="C658" s="7"/>
      <c r="D658" s="7"/>
      <c r="E658" s="7"/>
    </row>
    <row r="659" ht="15.75" customHeight="1">
      <c r="B659" s="7"/>
      <c r="C659" s="7"/>
      <c r="D659" s="7"/>
      <c r="E659" s="7"/>
    </row>
    <row r="660" ht="15.75" customHeight="1">
      <c r="B660" s="7"/>
      <c r="C660" s="7"/>
      <c r="D660" s="7"/>
      <c r="E660" s="7"/>
    </row>
    <row r="661" ht="15.75" customHeight="1">
      <c r="B661" s="7"/>
      <c r="C661" s="7"/>
      <c r="D661" s="7"/>
      <c r="E661" s="7"/>
    </row>
    <row r="662" ht="15.75" customHeight="1">
      <c r="B662" s="7"/>
      <c r="C662" s="7"/>
      <c r="D662" s="7"/>
      <c r="E662" s="7"/>
    </row>
    <row r="663" ht="15.75" customHeight="1">
      <c r="B663" s="7"/>
      <c r="C663" s="7"/>
      <c r="D663" s="7"/>
      <c r="E663" s="7"/>
    </row>
    <row r="664" ht="15.75" customHeight="1">
      <c r="B664" s="7"/>
      <c r="C664" s="7"/>
      <c r="D664" s="7"/>
      <c r="E664" s="7"/>
    </row>
    <row r="665" ht="15.75" customHeight="1">
      <c r="B665" s="7"/>
      <c r="C665" s="7"/>
      <c r="D665" s="7"/>
      <c r="E665" s="7"/>
    </row>
    <row r="666" ht="15.75" customHeight="1">
      <c r="B666" s="7"/>
      <c r="C666" s="7"/>
      <c r="D666" s="7"/>
      <c r="E666" s="7"/>
    </row>
    <row r="667" ht="15.75" customHeight="1">
      <c r="B667" s="7"/>
      <c r="C667" s="7"/>
      <c r="D667" s="7"/>
      <c r="E667" s="7"/>
    </row>
    <row r="668" ht="15.75" customHeight="1">
      <c r="B668" s="7"/>
      <c r="C668" s="7"/>
      <c r="D668" s="7"/>
      <c r="E668" s="7"/>
    </row>
    <row r="669" ht="15.75" customHeight="1">
      <c r="B669" s="7"/>
      <c r="C669" s="7"/>
      <c r="D669" s="7"/>
      <c r="E669" s="7"/>
    </row>
    <row r="670" ht="15.75" customHeight="1">
      <c r="B670" s="7"/>
      <c r="C670" s="7"/>
      <c r="D670" s="7"/>
      <c r="E670" s="7"/>
    </row>
    <row r="671" ht="15.75" customHeight="1">
      <c r="B671" s="7"/>
      <c r="C671" s="7"/>
      <c r="D671" s="7"/>
      <c r="E671" s="7"/>
    </row>
    <row r="672" ht="15.75" customHeight="1">
      <c r="B672" s="7"/>
      <c r="C672" s="7"/>
      <c r="D672" s="7"/>
      <c r="E672" s="7"/>
    </row>
    <row r="673" ht="15.75" customHeight="1">
      <c r="B673" s="7"/>
      <c r="C673" s="7"/>
      <c r="D673" s="7"/>
      <c r="E673" s="7"/>
    </row>
    <row r="674" ht="15.75" customHeight="1">
      <c r="B674" s="7"/>
      <c r="C674" s="7"/>
      <c r="D674" s="7"/>
      <c r="E674" s="7"/>
    </row>
    <row r="675" ht="15.75" customHeight="1">
      <c r="B675" s="7"/>
      <c r="C675" s="7"/>
      <c r="D675" s="7"/>
      <c r="E675" s="7"/>
    </row>
    <row r="676" ht="15.75" customHeight="1">
      <c r="B676" s="7"/>
      <c r="C676" s="7"/>
      <c r="D676" s="7"/>
      <c r="E676" s="7"/>
    </row>
    <row r="677" ht="15.75" customHeight="1">
      <c r="B677" s="7"/>
      <c r="C677" s="7"/>
      <c r="D677" s="7"/>
      <c r="E677" s="7"/>
    </row>
    <row r="678" ht="15.75" customHeight="1">
      <c r="B678" s="7"/>
      <c r="C678" s="7"/>
      <c r="D678" s="7"/>
      <c r="E678" s="7"/>
    </row>
    <row r="679" ht="15.75" customHeight="1">
      <c r="B679" s="7"/>
      <c r="C679" s="7"/>
      <c r="D679" s="7"/>
      <c r="E679" s="7"/>
    </row>
    <row r="680" ht="15.75" customHeight="1">
      <c r="B680" s="7"/>
      <c r="C680" s="7"/>
      <c r="D680" s="7"/>
      <c r="E680" s="7"/>
    </row>
    <row r="681" ht="15.75" customHeight="1">
      <c r="B681" s="7"/>
      <c r="C681" s="7"/>
      <c r="D681" s="7"/>
      <c r="E681" s="7"/>
    </row>
    <row r="682" ht="15.75" customHeight="1">
      <c r="B682" s="7"/>
      <c r="C682" s="7"/>
      <c r="D682" s="7"/>
      <c r="E682" s="7"/>
    </row>
    <row r="683" ht="15.75" customHeight="1">
      <c r="B683" s="7"/>
      <c r="C683" s="7"/>
      <c r="D683" s="7"/>
      <c r="E683" s="7"/>
    </row>
    <row r="684" ht="15.75" customHeight="1">
      <c r="B684" s="7"/>
      <c r="C684" s="7"/>
      <c r="D684" s="7"/>
      <c r="E684" s="7"/>
    </row>
    <row r="685" ht="15.75" customHeight="1">
      <c r="B685" s="7"/>
      <c r="C685" s="7"/>
      <c r="D685" s="7"/>
      <c r="E685" s="7"/>
    </row>
    <row r="686" ht="15.75" customHeight="1">
      <c r="B686" s="7"/>
      <c r="C686" s="7"/>
      <c r="D686" s="7"/>
      <c r="E686" s="7"/>
    </row>
    <row r="687" ht="15.75" customHeight="1">
      <c r="B687" s="7"/>
      <c r="C687" s="7"/>
      <c r="D687" s="7"/>
      <c r="E687" s="7"/>
    </row>
    <row r="688" ht="15.75" customHeight="1">
      <c r="B688" s="7"/>
      <c r="C688" s="7"/>
      <c r="D688" s="7"/>
      <c r="E688" s="7"/>
    </row>
    <row r="689" ht="15.75" customHeight="1">
      <c r="B689" s="7"/>
      <c r="C689" s="7"/>
      <c r="D689" s="7"/>
      <c r="E689" s="7"/>
    </row>
    <row r="690" ht="15.75" customHeight="1">
      <c r="B690" s="7"/>
      <c r="C690" s="7"/>
      <c r="D690" s="7"/>
      <c r="E690" s="7"/>
    </row>
    <row r="691" ht="15.75" customHeight="1">
      <c r="B691" s="7"/>
      <c r="C691" s="7"/>
      <c r="D691" s="7"/>
      <c r="E691" s="7"/>
    </row>
    <row r="692" ht="15.75" customHeight="1">
      <c r="B692" s="7"/>
      <c r="C692" s="7"/>
      <c r="D692" s="7"/>
      <c r="E692" s="7"/>
    </row>
    <row r="693" ht="15.75" customHeight="1">
      <c r="B693" s="7"/>
      <c r="C693" s="7"/>
      <c r="D693" s="7"/>
      <c r="E693" s="7"/>
    </row>
    <row r="694" ht="15.75" customHeight="1">
      <c r="B694" s="7"/>
      <c r="C694" s="7"/>
      <c r="D694" s="7"/>
      <c r="E694" s="7"/>
    </row>
    <row r="695" ht="15.75" customHeight="1">
      <c r="B695" s="7"/>
      <c r="C695" s="7"/>
      <c r="D695" s="7"/>
      <c r="E695" s="7"/>
    </row>
    <row r="696" ht="15.75" customHeight="1">
      <c r="B696" s="7"/>
      <c r="C696" s="7"/>
      <c r="D696" s="7"/>
      <c r="E696" s="7"/>
    </row>
    <row r="697" ht="15.75" customHeight="1">
      <c r="B697" s="7"/>
      <c r="C697" s="7"/>
      <c r="D697" s="7"/>
      <c r="E697" s="7"/>
    </row>
    <row r="698" ht="15.75" customHeight="1">
      <c r="B698" s="7"/>
      <c r="C698" s="7"/>
      <c r="D698" s="7"/>
      <c r="E698" s="7"/>
    </row>
    <row r="699" ht="15.75" customHeight="1">
      <c r="B699" s="7"/>
      <c r="C699" s="7"/>
      <c r="D699" s="7"/>
      <c r="E699" s="7"/>
    </row>
    <row r="700" ht="15.75" customHeight="1">
      <c r="B700" s="7"/>
      <c r="C700" s="7"/>
      <c r="D700" s="7"/>
      <c r="E700" s="7"/>
    </row>
    <row r="701" ht="15.75" customHeight="1">
      <c r="B701" s="7"/>
      <c r="C701" s="7"/>
      <c r="D701" s="7"/>
      <c r="E701" s="7"/>
    </row>
    <row r="702" ht="15.75" customHeight="1">
      <c r="B702" s="7"/>
      <c r="C702" s="7"/>
      <c r="D702" s="7"/>
      <c r="E702" s="7"/>
    </row>
    <row r="703" ht="15.75" customHeight="1">
      <c r="B703" s="7"/>
      <c r="C703" s="7"/>
      <c r="D703" s="7"/>
      <c r="E703" s="7"/>
    </row>
    <row r="704" ht="15.75" customHeight="1">
      <c r="B704" s="7"/>
      <c r="C704" s="7"/>
      <c r="D704" s="7"/>
      <c r="E704" s="7"/>
    </row>
    <row r="705" ht="15.75" customHeight="1">
      <c r="B705" s="7"/>
      <c r="C705" s="7"/>
      <c r="D705" s="7"/>
      <c r="E705" s="7"/>
    </row>
    <row r="706" ht="15.75" customHeight="1">
      <c r="B706" s="7"/>
      <c r="C706" s="7"/>
      <c r="D706" s="7"/>
      <c r="E706" s="7"/>
    </row>
    <row r="707" ht="15.75" customHeight="1">
      <c r="B707" s="7"/>
      <c r="C707" s="7"/>
      <c r="D707" s="7"/>
      <c r="E707" s="7"/>
    </row>
    <row r="708" ht="15.75" customHeight="1">
      <c r="B708" s="7"/>
      <c r="C708" s="7"/>
      <c r="D708" s="7"/>
      <c r="E708" s="7"/>
    </row>
    <row r="709" ht="15.75" customHeight="1">
      <c r="B709" s="7"/>
      <c r="C709" s="7"/>
      <c r="D709" s="7"/>
      <c r="E709" s="7"/>
    </row>
    <row r="710" ht="15.75" customHeight="1">
      <c r="B710" s="7"/>
      <c r="C710" s="7"/>
      <c r="D710" s="7"/>
      <c r="E710" s="7"/>
    </row>
    <row r="711" ht="15.75" customHeight="1">
      <c r="B711" s="7"/>
      <c r="C711" s="7"/>
      <c r="D711" s="7"/>
      <c r="E711" s="7"/>
    </row>
    <row r="712" ht="15.75" customHeight="1">
      <c r="B712" s="7"/>
      <c r="C712" s="7"/>
      <c r="D712" s="7"/>
      <c r="E712" s="7"/>
    </row>
    <row r="713" ht="15.75" customHeight="1">
      <c r="B713" s="7"/>
      <c r="C713" s="7"/>
      <c r="D713" s="7"/>
      <c r="E713" s="7"/>
    </row>
    <row r="714" ht="15.75" customHeight="1">
      <c r="B714" s="7"/>
      <c r="C714" s="7"/>
      <c r="D714" s="7"/>
      <c r="E714" s="7"/>
    </row>
    <row r="715" ht="15.75" customHeight="1">
      <c r="B715" s="7"/>
      <c r="C715" s="7"/>
      <c r="D715" s="7"/>
      <c r="E715" s="7"/>
    </row>
    <row r="716" ht="15.75" customHeight="1">
      <c r="B716" s="7"/>
      <c r="C716" s="7"/>
      <c r="D716" s="7"/>
      <c r="E716" s="7"/>
    </row>
    <row r="717" ht="15.75" customHeight="1">
      <c r="B717" s="7"/>
      <c r="C717" s="7"/>
      <c r="D717" s="7"/>
      <c r="E717" s="7"/>
    </row>
    <row r="718" ht="15.75" customHeight="1">
      <c r="B718" s="7"/>
      <c r="C718" s="7"/>
      <c r="D718" s="7"/>
      <c r="E718" s="7"/>
    </row>
    <row r="719" ht="15.75" customHeight="1">
      <c r="B719" s="7"/>
      <c r="C719" s="7"/>
      <c r="D719" s="7"/>
      <c r="E719" s="7"/>
    </row>
    <row r="720" ht="15.75" customHeight="1">
      <c r="B720" s="7"/>
      <c r="C720" s="7"/>
      <c r="D720" s="7"/>
      <c r="E720" s="7"/>
    </row>
    <row r="721" ht="15.75" customHeight="1">
      <c r="B721" s="7"/>
      <c r="C721" s="7"/>
      <c r="D721" s="7"/>
      <c r="E721" s="7"/>
    </row>
    <row r="722" ht="15.75" customHeight="1">
      <c r="B722" s="7"/>
      <c r="C722" s="7"/>
      <c r="D722" s="7"/>
      <c r="E722" s="7"/>
    </row>
    <row r="723" ht="15.75" customHeight="1">
      <c r="B723" s="7"/>
      <c r="C723" s="7"/>
      <c r="D723" s="7"/>
      <c r="E723" s="7"/>
    </row>
    <row r="724" ht="15.75" customHeight="1">
      <c r="B724" s="7"/>
      <c r="C724" s="7"/>
      <c r="D724" s="7"/>
      <c r="E724" s="7"/>
    </row>
    <row r="725" ht="15.75" customHeight="1">
      <c r="B725" s="7"/>
      <c r="C725" s="7"/>
      <c r="D725" s="7"/>
      <c r="E725" s="7"/>
    </row>
    <row r="726" ht="15.75" customHeight="1">
      <c r="B726" s="7"/>
      <c r="C726" s="7"/>
      <c r="D726" s="7"/>
      <c r="E726" s="7"/>
    </row>
    <row r="727" ht="15.75" customHeight="1">
      <c r="B727" s="7"/>
      <c r="C727" s="7"/>
      <c r="D727" s="7"/>
      <c r="E727" s="7"/>
    </row>
    <row r="728" ht="15.75" customHeight="1">
      <c r="B728" s="7"/>
      <c r="C728" s="7"/>
      <c r="D728" s="7"/>
      <c r="E728" s="7"/>
    </row>
    <row r="729" ht="15.75" customHeight="1">
      <c r="B729" s="7"/>
      <c r="C729" s="7"/>
      <c r="D729" s="7"/>
      <c r="E729" s="7"/>
    </row>
    <row r="730" ht="15.75" customHeight="1">
      <c r="B730" s="7"/>
      <c r="C730" s="7"/>
      <c r="D730" s="7"/>
      <c r="E730" s="7"/>
    </row>
    <row r="731" ht="15.75" customHeight="1">
      <c r="B731" s="7"/>
      <c r="C731" s="7"/>
      <c r="D731" s="7"/>
      <c r="E731" s="7"/>
    </row>
    <row r="732" ht="15.75" customHeight="1">
      <c r="B732" s="7"/>
      <c r="C732" s="7"/>
      <c r="D732" s="7"/>
      <c r="E732" s="7"/>
    </row>
    <row r="733" ht="15.75" customHeight="1">
      <c r="B733" s="7"/>
      <c r="C733" s="7"/>
      <c r="D733" s="7"/>
      <c r="E733" s="7"/>
    </row>
    <row r="734" ht="15.75" customHeight="1">
      <c r="B734" s="7"/>
      <c r="C734" s="7"/>
      <c r="D734" s="7"/>
      <c r="E734" s="7"/>
    </row>
    <row r="735" ht="15.75" customHeight="1">
      <c r="B735" s="7"/>
      <c r="C735" s="7"/>
      <c r="D735" s="7"/>
      <c r="E735" s="7"/>
    </row>
    <row r="736" ht="15.75" customHeight="1">
      <c r="B736" s="7"/>
      <c r="C736" s="7"/>
      <c r="D736" s="7"/>
      <c r="E736" s="7"/>
    </row>
    <row r="737" ht="15.75" customHeight="1">
      <c r="B737" s="7"/>
      <c r="C737" s="7"/>
      <c r="D737" s="7"/>
      <c r="E737" s="7"/>
    </row>
    <row r="738" ht="15.75" customHeight="1">
      <c r="B738" s="7"/>
      <c r="C738" s="7"/>
      <c r="D738" s="7"/>
      <c r="E738" s="7"/>
    </row>
    <row r="739" ht="15.75" customHeight="1">
      <c r="B739" s="7"/>
      <c r="C739" s="7"/>
      <c r="D739" s="7"/>
      <c r="E739" s="7"/>
    </row>
    <row r="740" ht="15.75" customHeight="1">
      <c r="B740" s="7"/>
      <c r="C740" s="7"/>
      <c r="D740" s="7"/>
      <c r="E740" s="7"/>
    </row>
    <row r="741" ht="15.75" customHeight="1">
      <c r="B741" s="7"/>
      <c r="C741" s="7"/>
      <c r="D741" s="7"/>
      <c r="E741" s="7"/>
    </row>
    <row r="742" ht="15.75" customHeight="1">
      <c r="B742" s="7"/>
      <c r="C742" s="7"/>
      <c r="D742" s="7"/>
      <c r="E742" s="7"/>
    </row>
    <row r="743" ht="15.75" customHeight="1">
      <c r="B743" s="7"/>
      <c r="C743" s="7"/>
      <c r="D743" s="7"/>
      <c r="E743" s="7"/>
    </row>
    <row r="744" ht="15.75" customHeight="1">
      <c r="B744" s="7"/>
      <c r="C744" s="7"/>
      <c r="D744" s="7"/>
      <c r="E744" s="7"/>
    </row>
    <row r="745" ht="15.75" customHeight="1">
      <c r="B745" s="7"/>
      <c r="C745" s="7"/>
      <c r="D745" s="7"/>
      <c r="E745" s="7"/>
    </row>
    <row r="746" ht="15.75" customHeight="1">
      <c r="B746" s="7"/>
      <c r="C746" s="7"/>
      <c r="D746" s="7"/>
      <c r="E746" s="7"/>
    </row>
    <row r="747" ht="15.75" customHeight="1">
      <c r="B747" s="7"/>
      <c r="C747" s="7"/>
      <c r="D747" s="7"/>
      <c r="E747" s="7"/>
    </row>
    <row r="748" ht="15.75" customHeight="1">
      <c r="B748" s="7"/>
      <c r="C748" s="7"/>
      <c r="D748" s="7"/>
      <c r="E748" s="7"/>
    </row>
    <row r="749" ht="15.75" customHeight="1">
      <c r="B749" s="7"/>
      <c r="C749" s="7"/>
      <c r="D749" s="7"/>
      <c r="E749" s="7"/>
    </row>
    <row r="750" ht="15.75" customHeight="1">
      <c r="B750" s="7"/>
      <c r="C750" s="7"/>
      <c r="D750" s="7"/>
      <c r="E750" s="7"/>
    </row>
    <row r="751" ht="15.75" customHeight="1">
      <c r="B751" s="7"/>
      <c r="C751" s="7"/>
      <c r="D751" s="7"/>
      <c r="E751" s="7"/>
    </row>
    <row r="752" ht="15.75" customHeight="1">
      <c r="B752" s="7"/>
      <c r="C752" s="7"/>
      <c r="D752" s="7"/>
      <c r="E752" s="7"/>
    </row>
    <row r="753" ht="15.75" customHeight="1">
      <c r="B753" s="7"/>
      <c r="C753" s="7"/>
      <c r="D753" s="7"/>
      <c r="E753" s="7"/>
    </row>
    <row r="754" ht="15.75" customHeight="1">
      <c r="B754" s="7"/>
      <c r="C754" s="7"/>
      <c r="D754" s="7"/>
      <c r="E754" s="7"/>
    </row>
    <row r="755" ht="15.75" customHeight="1">
      <c r="B755" s="7"/>
      <c r="C755" s="7"/>
      <c r="D755" s="7"/>
      <c r="E755" s="7"/>
    </row>
    <row r="756" ht="15.75" customHeight="1">
      <c r="B756" s="7"/>
      <c r="C756" s="7"/>
      <c r="D756" s="7"/>
      <c r="E756" s="7"/>
    </row>
    <row r="757" ht="15.75" customHeight="1">
      <c r="B757" s="7"/>
      <c r="C757" s="7"/>
      <c r="D757" s="7"/>
      <c r="E757" s="7"/>
    </row>
    <row r="758" ht="15.75" customHeight="1">
      <c r="B758" s="7"/>
      <c r="C758" s="7"/>
      <c r="D758" s="7"/>
      <c r="E758" s="7"/>
    </row>
    <row r="759" ht="15.75" customHeight="1">
      <c r="B759" s="7"/>
      <c r="C759" s="7"/>
      <c r="D759" s="7"/>
      <c r="E759" s="7"/>
    </row>
    <row r="760" ht="15.75" customHeight="1">
      <c r="B760" s="7"/>
      <c r="C760" s="7"/>
      <c r="D760" s="7"/>
      <c r="E760" s="7"/>
    </row>
    <row r="761" ht="15.75" customHeight="1">
      <c r="B761" s="7"/>
      <c r="C761" s="7"/>
      <c r="D761" s="7"/>
      <c r="E761" s="7"/>
    </row>
    <row r="762" ht="15.75" customHeight="1">
      <c r="B762" s="7"/>
      <c r="C762" s="7"/>
      <c r="D762" s="7"/>
      <c r="E762" s="7"/>
    </row>
    <row r="763" ht="15.75" customHeight="1">
      <c r="B763" s="7"/>
      <c r="C763" s="7"/>
      <c r="D763" s="7"/>
      <c r="E763" s="7"/>
    </row>
    <row r="764" ht="15.75" customHeight="1">
      <c r="B764" s="7"/>
      <c r="C764" s="7"/>
      <c r="D764" s="7"/>
      <c r="E764" s="7"/>
    </row>
    <row r="765" ht="15.75" customHeight="1">
      <c r="B765" s="7"/>
      <c r="C765" s="7"/>
      <c r="D765" s="7"/>
      <c r="E765" s="7"/>
    </row>
    <row r="766" ht="15.75" customHeight="1">
      <c r="B766" s="7"/>
      <c r="C766" s="7"/>
      <c r="D766" s="7"/>
      <c r="E766" s="7"/>
    </row>
    <row r="767" ht="15.75" customHeight="1">
      <c r="B767" s="7"/>
      <c r="C767" s="7"/>
      <c r="D767" s="7"/>
      <c r="E767" s="7"/>
    </row>
    <row r="768" ht="15.75" customHeight="1">
      <c r="B768" s="7"/>
      <c r="C768" s="7"/>
      <c r="D768" s="7"/>
      <c r="E768" s="7"/>
    </row>
    <row r="769" ht="15.75" customHeight="1">
      <c r="B769" s="7"/>
      <c r="C769" s="7"/>
      <c r="D769" s="7"/>
      <c r="E769" s="7"/>
    </row>
    <row r="770" ht="15.75" customHeight="1">
      <c r="B770" s="7"/>
      <c r="C770" s="7"/>
      <c r="D770" s="7"/>
      <c r="E770" s="7"/>
    </row>
    <row r="771" ht="15.75" customHeight="1">
      <c r="B771" s="7"/>
      <c r="C771" s="7"/>
      <c r="D771" s="7"/>
      <c r="E771" s="7"/>
    </row>
    <row r="772" ht="15.75" customHeight="1">
      <c r="B772" s="7"/>
      <c r="C772" s="7"/>
      <c r="D772" s="7"/>
      <c r="E772" s="7"/>
    </row>
    <row r="773" ht="15.75" customHeight="1">
      <c r="B773" s="7"/>
      <c r="C773" s="7"/>
      <c r="D773" s="7"/>
      <c r="E773" s="7"/>
    </row>
    <row r="774" ht="15.75" customHeight="1">
      <c r="B774" s="7"/>
      <c r="C774" s="7"/>
      <c r="D774" s="7"/>
      <c r="E774" s="7"/>
    </row>
    <row r="775" ht="15.75" customHeight="1">
      <c r="B775" s="7"/>
      <c r="C775" s="7"/>
      <c r="D775" s="7"/>
      <c r="E775" s="7"/>
    </row>
    <row r="776" ht="15.75" customHeight="1">
      <c r="B776" s="7"/>
      <c r="C776" s="7"/>
      <c r="D776" s="7"/>
      <c r="E776" s="7"/>
    </row>
    <row r="777" ht="15.75" customHeight="1">
      <c r="B777" s="7"/>
      <c r="C777" s="7"/>
      <c r="D777" s="7"/>
      <c r="E777" s="7"/>
    </row>
    <row r="778" ht="15.75" customHeight="1">
      <c r="B778" s="7"/>
      <c r="C778" s="7"/>
      <c r="D778" s="7"/>
      <c r="E778" s="7"/>
    </row>
    <row r="779" ht="15.75" customHeight="1">
      <c r="B779" s="7"/>
      <c r="C779" s="7"/>
      <c r="D779" s="7"/>
      <c r="E779" s="7"/>
    </row>
    <row r="780" ht="15.75" customHeight="1">
      <c r="B780" s="7"/>
      <c r="C780" s="7"/>
      <c r="D780" s="7"/>
      <c r="E780" s="7"/>
    </row>
    <row r="781" ht="15.75" customHeight="1">
      <c r="B781" s="7"/>
      <c r="C781" s="7"/>
      <c r="D781" s="7"/>
      <c r="E781" s="7"/>
    </row>
    <row r="782" ht="15.75" customHeight="1">
      <c r="B782" s="7"/>
      <c r="C782" s="7"/>
      <c r="D782" s="7"/>
      <c r="E782" s="7"/>
    </row>
    <row r="783" ht="15.75" customHeight="1">
      <c r="B783" s="7"/>
      <c r="C783" s="7"/>
      <c r="D783" s="7"/>
      <c r="E783" s="7"/>
    </row>
    <row r="784" ht="15.75" customHeight="1">
      <c r="B784" s="7"/>
      <c r="C784" s="7"/>
      <c r="D784" s="7"/>
      <c r="E784" s="7"/>
    </row>
    <row r="785" ht="15.75" customHeight="1">
      <c r="B785" s="7"/>
      <c r="C785" s="7"/>
      <c r="D785" s="7"/>
      <c r="E785" s="7"/>
    </row>
    <row r="786" ht="15.75" customHeight="1">
      <c r="B786" s="7"/>
      <c r="C786" s="7"/>
      <c r="D786" s="7"/>
      <c r="E786" s="7"/>
    </row>
    <row r="787" ht="15.75" customHeight="1">
      <c r="B787" s="7"/>
      <c r="C787" s="7"/>
      <c r="D787" s="7"/>
      <c r="E787" s="7"/>
    </row>
    <row r="788" ht="15.75" customHeight="1">
      <c r="B788" s="7"/>
      <c r="C788" s="7"/>
      <c r="D788" s="7"/>
      <c r="E788" s="7"/>
    </row>
    <row r="789" ht="15.75" customHeight="1">
      <c r="B789" s="7"/>
      <c r="C789" s="7"/>
      <c r="D789" s="7"/>
      <c r="E789" s="7"/>
    </row>
    <row r="790" ht="15.75" customHeight="1">
      <c r="B790" s="7"/>
      <c r="C790" s="7"/>
      <c r="D790" s="7"/>
      <c r="E790" s="7"/>
    </row>
    <row r="791" ht="15.75" customHeight="1">
      <c r="B791" s="7"/>
      <c r="C791" s="7"/>
      <c r="D791" s="7"/>
      <c r="E791" s="7"/>
    </row>
    <row r="792" ht="15.75" customHeight="1">
      <c r="B792" s="7"/>
      <c r="C792" s="7"/>
      <c r="D792" s="7"/>
      <c r="E792" s="7"/>
    </row>
    <row r="793" ht="15.75" customHeight="1">
      <c r="B793" s="7"/>
      <c r="C793" s="7"/>
      <c r="D793" s="7"/>
      <c r="E793" s="7"/>
    </row>
    <row r="794" ht="15.75" customHeight="1">
      <c r="B794" s="7"/>
      <c r="C794" s="7"/>
      <c r="D794" s="7"/>
      <c r="E794" s="7"/>
    </row>
    <row r="795" ht="15.75" customHeight="1">
      <c r="B795" s="7"/>
      <c r="C795" s="7"/>
      <c r="D795" s="7"/>
      <c r="E795" s="7"/>
    </row>
    <row r="796" ht="15.75" customHeight="1">
      <c r="B796" s="7"/>
      <c r="C796" s="7"/>
      <c r="D796" s="7"/>
      <c r="E796" s="7"/>
    </row>
    <row r="797" ht="15.75" customHeight="1">
      <c r="B797" s="7"/>
      <c r="C797" s="7"/>
      <c r="D797" s="7"/>
      <c r="E797" s="7"/>
    </row>
    <row r="798" ht="15.75" customHeight="1">
      <c r="B798" s="7"/>
      <c r="C798" s="7"/>
      <c r="D798" s="7"/>
      <c r="E798" s="7"/>
    </row>
    <row r="799" ht="15.75" customHeight="1">
      <c r="B799" s="7"/>
      <c r="C799" s="7"/>
      <c r="D799" s="7"/>
      <c r="E799" s="7"/>
    </row>
    <row r="800" ht="15.75" customHeight="1">
      <c r="B800" s="7"/>
      <c r="C800" s="7"/>
      <c r="D800" s="7"/>
      <c r="E800" s="7"/>
    </row>
    <row r="801" ht="15.75" customHeight="1">
      <c r="B801" s="7"/>
      <c r="C801" s="7"/>
      <c r="D801" s="7"/>
      <c r="E801" s="7"/>
    </row>
    <row r="802" ht="15.75" customHeight="1">
      <c r="B802" s="7"/>
      <c r="C802" s="7"/>
      <c r="D802" s="7"/>
      <c r="E802" s="7"/>
    </row>
    <row r="803" ht="15.75" customHeight="1">
      <c r="B803" s="7"/>
      <c r="C803" s="7"/>
      <c r="D803" s="7"/>
      <c r="E803" s="7"/>
    </row>
    <row r="804" ht="15.75" customHeight="1">
      <c r="B804" s="7"/>
      <c r="C804" s="7"/>
      <c r="D804" s="7"/>
      <c r="E804" s="7"/>
    </row>
    <row r="805" ht="15.75" customHeight="1">
      <c r="B805" s="7"/>
      <c r="C805" s="7"/>
      <c r="D805" s="7"/>
      <c r="E805" s="7"/>
    </row>
    <row r="806" ht="15.75" customHeight="1">
      <c r="B806" s="7"/>
      <c r="C806" s="7"/>
      <c r="D806" s="7"/>
      <c r="E806" s="7"/>
    </row>
    <row r="807" ht="15.75" customHeight="1">
      <c r="B807" s="7"/>
      <c r="C807" s="7"/>
      <c r="D807" s="7"/>
      <c r="E807" s="7"/>
    </row>
    <row r="808" ht="15.75" customHeight="1">
      <c r="B808" s="7"/>
      <c r="C808" s="7"/>
      <c r="D808" s="7"/>
      <c r="E808" s="7"/>
    </row>
    <row r="809" ht="15.75" customHeight="1">
      <c r="B809" s="7"/>
      <c r="C809" s="7"/>
      <c r="D809" s="7"/>
      <c r="E809" s="7"/>
    </row>
    <row r="810" ht="15.75" customHeight="1">
      <c r="B810" s="7"/>
      <c r="C810" s="7"/>
      <c r="D810" s="7"/>
      <c r="E810" s="7"/>
    </row>
    <row r="811" ht="15.75" customHeight="1">
      <c r="B811" s="7"/>
      <c r="C811" s="7"/>
      <c r="D811" s="7"/>
      <c r="E811" s="7"/>
    </row>
    <row r="812" ht="15.75" customHeight="1">
      <c r="B812" s="7"/>
      <c r="C812" s="7"/>
      <c r="D812" s="7"/>
      <c r="E812" s="7"/>
    </row>
    <row r="813" ht="15.75" customHeight="1">
      <c r="B813" s="7"/>
      <c r="C813" s="7"/>
      <c r="D813" s="7"/>
      <c r="E813" s="7"/>
    </row>
    <row r="814" ht="15.75" customHeight="1">
      <c r="B814" s="7"/>
      <c r="C814" s="7"/>
      <c r="D814" s="7"/>
      <c r="E814" s="7"/>
    </row>
    <row r="815" ht="15.75" customHeight="1">
      <c r="B815" s="7"/>
      <c r="C815" s="7"/>
      <c r="D815" s="7"/>
      <c r="E815" s="7"/>
    </row>
    <row r="816" ht="15.75" customHeight="1">
      <c r="B816" s="7"/>
      <c r="C816" s="7"/>
      <c r="D816" s="7"/>
      <c r="E816" s="7"/>
    </row>
    <row r="817" ht="15.75" customHeight="1">
      <c r="B817" s="7"/>
      <c r="C817" s="7"/>
      <c r="D817" s="7"/>
      <c r="E817" s="7"/>
    </row>
    <row r="818" ht="15.75" customHeight="1">
      <c r="B818" s="7"/>
      <c r="C818" s="7"/>
      <c r="D818" s="7"/>
      <c r="E818" s="7"/>
    </row>
    <row r="819" ht="15.75" customHeight="1">
      <c r="B819" s="7"/>
      <c r="C819" s="7"/>
      <c r="D819" s="7"/>
      <c r="E819" s="7"/>
    </row>
    <row r="820" ht="15.75" customHeight="1">
      <c r="B820" s="7"/>
      <c r="C820" s="7"/>
      <c r="D820" s="7"/>
      <c r="E820" s="7"/>
    </row>
    <row r="821" ht="15.75" customHeight="1">
      <c r="B821" s="7"/>
      <c r="C821" s="7"/>
      <c r="D821" s="7"/>
      <c r="E821" s="7"/>
    </row>
    <row r="822" ht="15.75" customHeight="1">
      <c r="B822" s="7"/>
      <c r="C822" s="7"/>
      <c r="D822" s="7"/>
      <c r="E822" s="7"/>
    </row>
    <row r="823" ht="15.75" customHeight="1">
      <c r="B823" s="7"/>
      <c r="C823" s="7"/>
      <c r="D823" s="7"/>
      <c r="E823" s="7"/>
    </row>
    <row r="824" ht="15.75" customHeight="1">
      <c r="B824" s="7"/>
      <c r="C824" s="7"/>
      <c r="D824" s="7"/>
      <c r="E824" s="7"/>
    </row>
    <row r="825" ht="15.75" customHeight="1">
      <c r="B825" s="7"/>
      <c r="C825" s="7"/>
      <c r="D825" s="7"/>
      <c r="E825" s="7"/>
    </row>
    <row r="826" ht="15.75" customHeight="1">
      <c r="B826" s="7"/>
      <c r="C826" s="7"/>
      <c r="D826" s="7"/>
      <c r="E826" s="7"/>
    </row>
    <row r="827" ht="15.75" customHeight="1">
      <c r="B827" s="7"/>
      <c r="C827" s="7"/>
      <c r="D827" s="7"/>
      <c r="E827" s="7"/>
    </row>
    <row r="828" ht="15.75" customHeight="1">
      <c r="B828" s="7"/>
      <c r="C828" s="7"/>
      <c r="D828" s="7"/>
      <c r="E828" s="7"/>
    </row>
    <row r="829" ht="15.75" customHeight="1">
      <c r="B829" s="7"/>
      <c r="C829" s="7"/>
      <c r="D829" s="7"/>
      <c r="E829" s="7"/>
    </row>
    <row r="830" ht="15.75" customHeight="1">
      <c r="B830" s="7"/>
      <c r="C830" s="7"/>
      <c r="D830" s="7"/>
      <c r="E830" s="7"/>
    </row>
    <row r="831" ht="15.75" customHeight="1">
      <c r="B831" s="7"/>
      <c r="C831" s="7"/>
      <c r="D831" s="7"/>
      <c r="E831" s="7"/>
    </row>
    <row r="832" ht="15.75" customHeight="1">
      <c r="B832" s="7"/>
      <c r="C832" s="7"/>
      <c r="D832" s="7"/>
      <c r="E832" s="7"/>
    </row>
    <row r="833" ht="15.75" customHeight="1">
      <c r="B833" s="7"/>
      <c r="C833" s="7"/>
      <c r="D833" s="7"/>
      <c r="E833" s="7"/>
    </row>
    <row r="834" ht="15.75" customHeight="1">
      <c r="B834" s="7"/>
      <c r="C834" s="7"/>
      <c r="D834" s="7"/>
      <c r="E834" s="7"/>
    </row>
    <row r="835" ht="15.75" customHeight="1">
      <c r="B835" s="7"/>
      <c r="C835" s="7"/>
      <c r="D835" s="7"/>
      <c r="E835" s="7"/>
    </row>
    <row r="836" ht="15.75" customHeight="1">
      <c r="B836" s="7"/>
      <c r="C836" s="7"/>
      <c r="D836" s="7"/>
      <c r="E836" s="7"/>
    </row>
    <row r="837" ht="15.75" customHeight="1">
      <c r="B837" s="7"/>
      <c r="C837" s="7"/>
      <c r="D837" s="7"/>
      <c r="E837" s="7"/>
    </row>
    <row r="838" ht="15.75" customHeight="1">
      <c r="B838" s="7"/>
      <c r="C838" s="7"/>
      <c r="D838" s="7"/>
      <c r="E838" s="7"/>
    </row>
    <row r="839" ht="15.75" customHeight="1">
      <c r="B839" s="7"/>
      <c r="C839" s="7"/>
      <c r="D839" s="7"/>
      <c r="E839" s="7"/>
    </row>
    <row r="840" ht="15.75" customHeight="1">
      <c r="B840" s="7"/>
      <c r="C840" s="7"/>
      <c r="D840" s="7"/>
      <c r="E840" s="7"/>
    </row>
    <row r="841" ht="15.75" customHeight="1">
      <c r="B841" s="7"/>
      <c r="C841" s="7"/>
      <c r="D841" s="7"/>
      <c r="E841" s="7"/>
    </row>
    <row r="842" ht="15.75" customHeight="1">
      <c r="B842" s="7"/>
      <c r="C842" s="7"/>
      <c r="D842" s="7"/>
      <c r="E842" s="7"/>
    </row>
    <row r="843" ht="15.75" customHeight="1">
      <c r="B843" s="7"/>
      <c r="C843" s="7"/>
      <c r="D843" s="7"/>
      <c r="E843" s="7"/>
    </row>
    <row r="844" ht="15.75" customHeight="1">
      <c r="B844" s="7"/>
      <c r="C844" s="7"/>
      <c r="D844" s="7"/>
      <c r="E844" s="7"/>
    </row>
    <row r="845" ht="15.75" customHeight="1">
      <c r="B845" s="7"/>
      <c r="C845" s="7"/>
      <c r="D845" s="7"/>
      <c r="E845" s="7"/>
    </row>
    <row r="846" ht="15.75" customHeight="1">
      <c r="B846" s="7"/>
      <c r="C846" s="7"/>
      <c r="D846" s="7"/>
      <c r="E846" s="7"/>
    </row>
    <row r="847" ht="15.75" customHeight="1">
      <c r="B847" s="7"/>
      <c r="C847" s="7"/>
      <c r="D847" s="7"/>
      <c r="E847" s="7"/>
    </row>
    <row r="848" ht="15.75" customHeight="1">
      <c r="B848" s="7"/>
      <c r="C848" s="7"/>
      <c r="D848" s="7"/>
      <c r="E848" s="7"/>
    </row>
    <row r="849" ht="15.75" customHeight="1">
      <c r="B849" s="7"/>
      <c r="C849" s="7"/>
      <c r="D849" s="7"/>
      <c r="E849" s="7"/>
    </row>
    <row r="850" ht="15.75" customHeight="1">
      <c r="B850" s="7"/>
      <c r="C850" s="7"/>
      <c r="D850" s="7"/>
      <c r="E850" s="7"/>
    </row>
    <row r="851" ht="15.75" customHeight="1">
      <c r="B851" s="7"/>
      <c r="C851" s="7"/>
      <c r="D851" s="7"/>
      <c r="E851" s="7"/>
    </row>
    <row r="852" ht="15.75" customHeight="1">
      <c r="B852" s="7"/>
      <c r="C852" s="7"/>
      <c r="D852" s="7"/>
      <c r="E852" s="7"/>
    </row>
    <row r="853" ht="15.75" customHeight="1">
      <c r="B853" s="7"/>
      <c r="C853" s="7"/>
      <c r="D853" s="7"/>
      <c r="E853" s="7"/>
    </row>
    <row r="854" ht="15.75" customHeight="1">
      <c r="B854" s="7"/>
      <c r="C854" s="7"/>
      <c r="D854" s="7"/>
      <c r="E854" s="7"/>
    </row>
    <row r="855" ht="15.75" customHeight="1">
      <c r="B855" s="7"/>
      <c r="C855" s="7"/>
      <c r="D855" s="7"/>
      <c r="E855" s="7"/>
    </row>
    <row r="856" ht="15.75" customHeight="1">
      <c r="B856" s="7"/>
      <c r="C856" s="7"/>
      <c r="D856" s="7"/>
      <c r="E856" s="7"/>
    </row>
    <row r="857" ht="15.75" customHeight="1">
      <c r="B857" s="7"/>
      <c r="C857" s="7"/>
      <c r="D857" s="7"/>
      <c r="E857" s="7"/>
    </row>
    <row r="858" ht="15.75" customHeight="1">
      <c r="B858" s="7"/>
      <c r="C858" s="7"/>
      <c r="D858" s="7"/>
      <c r="E858" s="7"/>
    </row>
    <row r="859" ht="15.75" customHeight="1">
      <c r="B859" s="7"/>
      <c r="C859" s="7"/>
      <c r="D859" s="7"/>
      <c r="E859" s="7"/>
    </row>
    <row r="860" ht="15.75" customHeight="1">
      <c r="B860" s="7"/>
      <c r="C860" s="7"/>
      <c r="D860" s="7"/>
      <c r="E860" s="7"/>
    </row>
    <row r="861" ht="15.75" customHeight="1">
      <c r="B861" s="7"/>
      <c r="C861" s="7"/>
      <c r="D861" s="7"/>
      <c r="E861" s="7"/>
    </row>
    <row r="862" ht="15.75" customHeight="1">
      <c r="B862" s="7"/>
      <c r="C862" s="7"/>
      <c r="D862" s="7"/>
      <c r="E862" s="7"/>
    </row>
    <row r="863" ht="15.75" customHeight="1">
      <c r="B863" s="7"/>
      <c r="C863" s="7"/>
      <c r="D863" s="7"/>
      <c r="E863" s="7"/>
    </row>
    <row r="864" ht="15.75" customHeight="1">
      <c r="B864" s="7"/>
      <c r="C864" s="7"/>
      <c r="D864" s="7"/>
      <c r="E864" s="7"/>
    </row>
    <row r="865" ht="15.75" customHeight="1">
      <c r="B865" s="7"/>
      <c r="C865" s="7"/>
      <c r="D865" s="7"/>
      <c r="E865" s="7"/>
    </row>
    <row r="866" ht="15.75" customHeight="1">
      <c r="B866" s="7"/>
      <c r="C866" s="7"/>
      <c r="D866" s="7"/>
      <c r="E866" s="7"/>
    </row>
    <row r="867" ht="15.75" customHeight="1">
      <c r="B867" s="7"/>
      <c r="C867" s="7"/>
      <c r="D867" s="7"/>
      <c r="E867" s="7"/>
    </row>
    <row r="868" ht="15.75" customHeight="1">
      <c r="B868" s="7"/>
      <c r="C868" s="7"/>
      <c r="D868" s="7"/>
      <c r="E868" s="7"/>
    </row>
    <row r="869" ht="15.75" customHeight="1">
      <c r="B869" s="7"/>
      <c r="C869" s="7"/>
      <c r="D869" s="7"/>
      <c r="E869" s="7"/>
    </row>
    <row r="870" ht="15.75" customHeight="1">
      <c r="B870" s="7"/>
      <c r="C870" s="7"/>
      <c r="D870" s="7"/>
      <c r="E870" s="7"/>
    </row>
    <row r="871" ht="15.75" customHeight="1">
      <c r="B871" s="7"/>
      <c r="C871" s="7"/>
      <c r="D871" s="7"/>
      <c r="E871" s="7"/>
    </row>
    <row r="872" ht="15.75" customHeight="1">
      <c r="B872" s="7"/>
      <c r="C872" s="7"/>
      <c r="D872" s="7"/>
      <c r="E872" s="7"/>
    </row>
    <row r="873" ht="15.75" customHeight="1">
      <c r="B873" s="7"/>
      <c r="C873" s="7"/>
      <c r="D873" s="7"/>
      <c r="E873" s="7"/>
    </row>
    <row r="874" ht="15.75" customHeight="1">
      <c r="B874" s="7"/>
      <c r="C874" s="7"/>
      <c r="D874" s="7"/>
      <c r="E874" s="7"/>
    </row>
    <row r="875" ht="15.75" customHeight="1">
      <c r="B875" s="7"/>
      <c r="C875" s="7"/>
      <c r="D875" s="7"/>
      <c r="E875" s="7"/>
    </row>
    <row r="876" ht="15.75" customHeight="1">
      <c r="B876" s="7"/>
      <c r="C876" s="7"/>
      <c r="D876" s="7"/>
      <c r="E876" s="7"/>
    </row>
    <row r="877" ht="15.75" customHeight="1">
      <c r="B877" s="7"/>
      <c r="C877" s="7"/>
      <c r="D877" s="7"/>
      <c r="E877" s="7"/>
    </row>
    <row r="878" ht="15.75" customHeight="1">
      <c r="B878" s="7"/>
      <c r="C878" s="7"/>
      <c r="D878" s="7"/>
      <c r="E878" s="7"/>
    </row>
    <row r="879" ht="15.75" customHeight="1">
      <c r="B879" s="7"/>
      <c r="C879" s="7"/>
      <c r="D879" s="7"/>
      <c r="E879" s="7"/>
    </row>
    <row r="880" ht="15.75" customHeight="1">
      <c r="B880" s="7"/>
      <c r="C880" s="7"/>
      <c r="D880" s="7"/>
      <c r="E880" s="7"/>
    </row>
    <row r="881" ht="15.75" customHeight="1">
      <c r="B881" s="7"/>
      <c r="C881" s="7"/>
      <c r="D881" s="7"/>
      <c r="E881" s="7"/>
    </row>
    <row r="882" ht="15.75" customHeight="1">
      <c r="B882" s="7"/>
      <c r="C882" s="7"/>
      <c r="D882" s="7"/>
      <c r="E882" s="7"/>
    </row>
    <row r="883" ht="15.75" customHeight="1">
      <c r="B883" s="7"/>
      <c r="C883" s="7"/>
      <c r="D883" s="7"/>
      <c r="E883" s="7"/>
    </row>
    <row r="884" ht="15.75" customHeight="1">
      <c r="B884" s="7"/>
      <c r="C884" s="7"/>
      <c r="D884" s="7"/>
      <c r="E884" s="7"/>
    </row>
    <row r="885" ht="15.75" customHeight="1">
      <c r="B885" s="7"/>
      <c r="C885" s="7"/>
      <c r="D885" s="7"/>
      <c r="E885" s="7"/>
    </row>
    <row r="886" ht="15.75" customHeight="1">
      <c r="B886" s="7"/>
      <c r="C886" s="7"/>
      <c r="D886" s="7"/>
      <c r="E886" s="7"/>
    </row>
    <row r="887" ht="15.75" customHeight="1">
      <c r="B887" s="7"/>
      <c r="C887" s="7"/>
      <c r="D887" s="7"/>
      <c r="E887" s="7"/>
    </row>
    <row r="888" ht="15.75" customHeight="1">
      <c r="B888" s="7"/>
      <c r="C888" s="7"/>
      <c r="D888" s="7"/>
      <c r="E888" s="7"/>
    </row>
    <row r="889" ht="15.75" customHeight="1">
      <c r="B889" s="7"/>
      <c r="C889" s="7"/>
      <c r="D889" s="7"/>
      <c r="E889" s="7"/>
    </row>
    <row r="890" ht="15.75" customHeight="1">
      <c r="B890" s="7"/>
      <c r="C890" s="7"/>
      <c r="D890" s="7"/>
      <c r="E890" s="7"/>
    </row>
    <row r="891" ht="15.75" customHeight="1">
      <c r="B891" s="7"/>
      <c r="C891" s="7"/>
      <c r="D891" s="7"/>
      <c r="E891" s="7"/>
    </row>
    <row r="892" ht="15.75" customHeight="1">
      <c r="B892" s="7"/>
      <c r="C892" s="7"/>
      <c r="D892" s="7"/>
      <c r="E892" s="7"/>
    </row>
    <row r="893" ht="15.75" customHeight="1">
      <c r="B893" s="7"/>
      <c r="C893" s="7"/>
      <c r="D893" s="7"/>
      <c r="E893" s="7"/>
    </row>
    <row r="894" ht="15.75" customHeight="1">
      <c r="B894" s="7"/>
      <c r="C894" s="7"/>
      <c r="D894" s="7"/>
      <c r="E894" s="7"/>
    </row>
    <row r="895" ht="15.75" customHeight="1">
      <c r="B895" s="7"/>
      <c r="C895" s="7"/>
      <c r="D895" s="7"/>
      <c r="E895" s="7"/>
    </row>
    <row r="896" ht="15.75" customHeight="1">
      <c r="B896" s="7"/>
      <c r="C896" s="7"/>
      <c r="D896" s="7"/>
      <c r="E896" s="7"/>
    </row>
    <row r="897" ht="15.75" customHeight="1">
      <c r="B897" s="7"/>
      <c r="C897" s="7"/>
      <c r="D897" s="7"/>
      <c r="E897" s="7"/>
    </row>
    <row r="898" ht="15.75" customHeight="1">
      <c r="B898" s="7"/>
      <c r="C898" s="7"/>
      <c r="D898" s="7"/>
      <c r="E898" s="7"/>
    </row>
    <row r="899" ht="15.75" customHeight="1">
      <c r="B899" s="7"/>
      <c r="C899" s="7"/>
      <c r="D899" s="7"/>
      <c r="E899" s="7"/>
    </row>
    <row r="900" ht="15.75" customHeight="1">
      <c r="B900" s="7"/>
      <c r="C900" s="7"/>
      <c r="D900" s="7"/>
      <c r="E900" s="7"/>
    </row>
    <row r="901" ht="15.75" customHeight="1">
      <c r="B901" s="7"/>
      <c r="C901" s="7"/>
      <c r="D901" s="7"/>
      <c r="E901" s="7"/>
    </row>
    <row r="902" ht="15.75" customHeight="1">
      <c r="B902" s="7"/>
      <c r="C902" s="7"/>
      <c r="D902" s="7"/>
      <c r="E902" s="7"/>
    </row>
    <row r="903" ht="15.75" customHeight="1">
      <c r="B903" s="7"/>
      <c r="C903" s="7"/>
      <c r="D903" s="7"/>
      <c r="E903" s="7"/>
    </row>
    <row r="904" ht="15.75" customHeight="1">
      <c r="B904" s="7"/>
      <c r="C904" s="7"/>
      <c r="D904" s="7"/>
      <c r="E904" s="7"/>
    </row>
    <row r="905" ht="15.75" customHeight="1">
      <c r="B905" s="7"/>
      <c r="C905" s="7"/>
      <c r="D905" s="7"/>
      <c r="E905" s="7"/>
    </row>
    <row r="906" ht="15.75" customHeight="1">
      <c r="B906" s="7"/>
      <c r="C906" s="7"/>
      <c r="D906" s="7"/>
      <c r="E906" s="7"/>
    </row>
    <row r="907" ht="15.75" customHeight="1">
      <c r="B907" s="7"/>
      <c r="C907" s="7"/>
      <c r="D907" s="7"/>
      <c r="E907" s="7"/>
    </row>
    <row r="908" ht="15.75" customHeight="1">
      <c r="B908" s="7"/>
      <c r="C908" s="7"/>
      <c r="D908" s="7"/>
      <c r="E908" s="7"/>
    </row>
    <row r="909" ht="15.75" customHeight="1">
      <c r="B909" s="7"/>
      <c r="C909" s="7"/>
      <c r="D909" s="7"/>
      <c r="E909" s="7"/>
    </row>
    <row r="910" ht="15.75" customHeight="1">
      <c r="B910" s="7"/>
      <c r="C910" s="7"/>
      <c r="D910" s="7"/>
      <c r="E910" s="7"/>
    </row>
    <row r="911" ht="15.75" customHeight="1">
      <c r="B911" s="7"/>
      <c r="C911" s="7"/>
      <c r="D911" s="7"/>
      <c r="E911" s="7"/>
    </row>
    <row r="912" ht="15.75" customHeight="1">
      <c r="B912" s="7"/>
      <c r="C912" s="7"/>
      <c r="D912" s="7"/>
      <c r="E912" s="7"/>
    </row>
    <row r="913" ht="15.75" customHeight="1">
      <c r="B913" s="7"/>
      <c r="C913" s="7"/>
      <c r="D913" s="7"/>
      <c r="E913" s="7"/>
    </row>
    <row r="914" ht="15.75" customHeight="1">
      <c r="B914" s="7"/>
      <c r="C914" s="7"/>
      <c r="D914" s="7"/>
      <c r="E914" s="7"/>
    </row>
    <row r="915" ht="15.75" customHeight="1">
      <c r="B915" s="7"/>
      <c r="C915" s="7"/>
      <c r="D915" s="7"/>
      <c r="E915" s="7"/>
    </row>
    <row r="916" ht="15.75" customHeight="1">
      <c r="B916" s="7"/>
      <c r="C916" s="7"/>
      <c r="D916" s="7"/>
      <c r="E916" s="7"/>
    </row>
    <row r="917" ht="15.75" customHeight="1">
      <c r="B917" s="7"/>
      <c r="C917" s="7"/>
      <c r="D917" s="7"/>
      <c r="E917" s="7"/>
    </row>
    <row r="918" ht="15.75" customHeight="1">
      <c r="B918" s="7"/>
      <c r="C918" s="7"/>
      <c r="D918" s="7"/>
      <c r="E918" s="7"/>
    </row>
    <row r="919" ht="15.75" customHeight="1">
      <c r="B919" s="7"/>
      <c r="C919" s="7"/>
      <c r="D919" s="7"/>
      <c r="E919" s="7"/>
    </row>
    <row r="920" ht="15.75" customHeight="1">
      <c r="B920" s="7"/>
      <c r="C920" s="7"/>
      <c r="D920" s="7"/>
      <c r="E920" s="7"/>
    </row>
    <row r="921" ht="15.75" customHeight="1">
      <c r="B921" s="7"/>
      <c r="C921" s="7"/>
      <c r="D921" s="7"/>
      <c r="E921" s="7"/>
    </row>
    <row r="922" ht="15.75" customHeight="1">
      <c r="B922" s="7"/>
      <c r="C922" s="7"/>
      <c r="D922" s="7"/>
      <c r="E922" s="7"/>
    </row>
    <row r="923" ht="15.75" customHeight="1">
      <c r="B923" s="7"/>
      <c r="C923" s="7"/>
      <c r="D923" s="7"/>
      <c r="E923" s="7"/>
    </row>
    <row r="924" ht="15.75" customHeight="1">
      <c r="B924" s="7"/>
      <c r="C924" s="7"/>
      <c r="D924" s="7"/>
      <c r="E924" s="7"/>
    </row>
    <row r="925" ht="15.75" customHeight="1">
      <c r="B925" s="7"/>
      <c r="C925" s="7"/>
      <c r="D925" s="7"/>
      <c r="E925" s="7"/>
    </row>
    <row r="926" ht="15.75" customHeight="1">
      <c r="B926" s="7"/>
      <c r="C926" s="7"/>
      <c r="D926" s="7"/>
      <c r="E926" s="7"/>
    </row>
    <row r="927" ht="15.75" customHeight="1">
      <c r="B927" s="7"/>
      <c r="C927" s="7"/>
      <c r="D927" s="7"/>
      <c r="E927" s="7"/>
    </row>
    <row r="928" ht="15.75" customHeight="1">
      <c r="B928" s="7"/>
      <c r="C928" s="7"/>
      <c r="D928" s="7"/>
      <c r="E928" s="7"/>
    </row>
    <row r="929" ht="15.75" customHeight="1">
      <c r="B929" s="7"/>
      <c r="C929" s="7"/>
      <c r="D929" s="7"/>
      <c r="E929" s="7"/>
    </row>
    <row r="930" ht="15.75" customHeight="1">
      <c r="B930" s="7"/>
      <c r="C930" s="7"/>
      <c r="D930" s="7"/>
      <c r="E930" s="7"/>
    </row>
    <row r="931" ht="15.75" customHeight="1">
      <c r="B931" s="7"/>
      <c r="C931" s="7"/>
      <c r="D931" s="7"/>
      <c r="E931" s="7"/>
    </row>
    <row r="932" ht="15.75" customHeight="1">
      <c r="B932" s="7"/>
      <c r="C932" s="7"/>
      <c r="D932" s="7"/>
      <c r="E932" s="7"/>
    </row>
    <row r="933" ht="15.75" customHeight="1">
      <c r="B933" s="7"/>
      <c r="C933" s="7"/>
      <c r="D933" s="7"/>
      <c r="E933" s="7"/>
    </row>
    <row r="934" ht="15.75" customHeight="1">
      <c r="B934" s="7"/>
      <c r="C934" s="7"/>
      <c r="D934" s="7"/>
      <c r="E934" s="7"/>
    </row>
    <row r="935" ht="15.75" customHeight="1">
      <c r="B935" s="7"/>
      <c r="C935" s="7"/>
      <c r="D935" s="7"/>
      <c r="E935" s="7"/>
    </row>
    <row r="936" ht="15.75" customHeight="1">
      <c r="B936" s="7"/>
      <c r="C936" s="7"/>
      <c r="D936" s="7"/>
      <c r="E936" s="7"/>
    </row>
    <row r="937" ht="15.75" customHeight="1">
      <c r="B937" s="7"/>
      <c r="C937" s="7"/>
      <c r="D937" s="7"/>
      <c r="E937" s="7"/>
    </row>
    <row r="938" ht="15.75" customHeight="1">
      <c r="B938" s="7"/>
      <c r="C938" s="7"/>
      <c r="D938" s="7"/>
      <c r="E938" s="7"/>
    </row>
    <row r="939" ht="15.75" customHeight="1">
      <c r="B939" s="7"/>
      <c r="C939" s="7"/>
      <c r="D939" s="7"/>
      <c r="E939" s="7"/>
    </row>
    <row r="940" ht="15.75" customHeight="1">
      <c r="B940" s="7"/>
      <c r="C940" s="7"/>
      <c r="D940" s="7"/>
      <c r="E940" s="7"/>
    </row>
    <row r="941" ht="15.75" customHeight="1">
      <c r="B941" s="7"/>
      <c r="C941" s="7"/>
      <c r="D941" s="7"/>
      <c r="E941" s="7"/>
    </row>
    <row r="942" ht="15.75" customHeight="1">
      <c r="B942" s="7"/>
      <c r="C942" s="7"/>
      <c r="D942" s="7"/>
      <c r="E942" s="7"/>
    </row>
    <row r="943" ht="15.75" customHeight="1">
      <c r="B943" s="7"/>
      <c r="C943" s="7"/>
      <c r="D943" s="7"/>
      <c r="E943" s="7"/>
    </row>
    <row r="944" ht="15.75" customHeight="1">
      <c r="B944" s="7"/>
      <c r="C944" s="7"/>
      <c r="D944" s="7"/>
      <c r="E944" s="7"/>
    </row>
    <row r="945" ht="15.75" customHeight="1">
      <c r="B945" s="7"/>
      <c r="C945" s="7"/>
      <c r="D945" s="7"/>
      <c r="E945" s="7"/>
    </row>
    <row r="946" ht="15.75" customHeight="1">
      <c r="B946" s="7"/>
      <c r="C946" s="7"/>
      <c r="D946" s="7"/>
      <c r="E946" s="7"/>
    </row>
    <row r="947" ht="15.75" customHeight="1">
      <c r="B947" s="7"/>
      <c r="C947" s="7"/>
      <c r="D947" s="7"/>
      <c r="E947" s="7"/>
    </row>
    <row r="948" ht="15.75" customHeight="1">
      <c r="B948" s="7"/>
      <c r="C948" s="7"/>
      <c r="D948" s="7"/>
      <c r="E948" s="7"/>
    </row>
    <row r="949" ht="15.75" customHeight="1">
      <c r="B949" s="7"/>
      <c r="C949" s="7"/>
      <c r="D949" s="7"/>
      <c r="E949" s="7"/>
    </row>
    <row r="950" ht="15.75" customHeight="1">
      <c r="B950" s="7"/>
      <c r="C950" s="7"/>
      <c r="D950" s="7"/>
      <c r="E950" s="7"/>
    </row>
    <row r="951" ht="15.75" customHeight="1">
      <c r="B951" s="7"/>
      <c r="C951" s="7"/>
      <c r="D951" s="7"/>
      <c r="E951" s="7"/>
    </row>
    <row r="952" ht="15.75" customHeight="1">
      <c r="B952" s="7"/>
      <c r="C952" s="7"/>
      <c r="D952" s="7"/>
      <c r="E952" s="7"/>
    </row>
    <row r="953" ht="15.75" customHeight="1">
      <c r="B953" s="7"/>
      <c r="C953" s="7"/>
      <c r="D953" s="7"/>
      <c r="E953" s="7"/>
    </row>
    <row r="954" ht="15.75" customHeight="1">
      <c r="B954" s="7"/>
      <c r="C954" s="7"/>
      <c r="D954" s="7"/>
      <c r="E954" s="7"/>
    </row>
    <row r="955" ht="15.75" customHeight="1">
      <c r="B955" s="7"/>
      <c r="C955" s="7"/>
      <c r="D955" s="7"/>
      <c r="E955" s="7"/>
    </row>
    <row r="956" ht="15.75" customHeight="1">
      <c r="B956" s="7"/>
      <c r="C956" s="7"/>
      <c r="D956" s="7"/>
      <c r="E956" s="7"/>
    </row>
    <row r="957" ht="15.75" customHeight="1">
      <c r="B957" s="7"/>
      <c r="C957" s="7"/>
      <c r="D957" s="7"/>
      <c r="E957" s="7"/>
    </row>
    <row r="958" ht="15.75" customHeight="1">
      <c r="B958" s="7"/>
      <c r="C958" s="7"/>
      <c r="D958" s="7"/>
      <c r="E958" s="7"/>
    </row>
    <row r="959" ht="15.75" customHeight="1">
      <c r="B959" s="7"/>
      <c r="C959" s="7"/>
      <c r="D959" s="7"/>
      <c r="E959" s="7"/>
    </row>
    <row r="960" ht="15.75" customHeight="1">
      <c r="B960" s="7"/>
      <c r="C960" s="7"/>
      <c r="D960" s="7"/>
      <c r="E960" s="7"/>
    </row>
    <row r="961" ht="15.75" customHeight="1">
      <c r="B961" s="7"/>
      <c r="C961" s="7"/>
      <c r="D961" s="7"/>
      <c r="E961" s="7"/>
    </row>
    <row r="962" ht="15.75" customHeight="1">
      <c r="B962" s="7"/>
      <c r="C962" s="7"/>
      <c r="D962" s="7"/>
      <c r="E962" s="7"/>
    </row>
    <row r="963" ht="15.75" customHeight="1">
      <c r="B963" s="7"/>
      <c r="C963" s="7"/>
      <c r="D963" s="7"/>
      <c r="E963" s="7"/>
    </row>
    <row r="964" ht="15.75" customHeight="1">
      <c r="B964" s="7"/>
      <c r="C964" s="7"/>
      <c r="D964" s="7"/>
      <c r="E964" s="7"/>
    </row>
    <row r="965" ht="15.75" customHeight="1">
      <c r="B965" s="7"/>
      <c r="C965" s="7"/>
      <c r="D965" s="7"/>
      <c r="E965" s="7"/>
    </row>
    <row r="966" ht="15.75" customHeight="1">
      <c r="B966" s="7"/>
      <c r="C966" s="7"/>
      <c r="D966" s="7"/>
      <c r="E966" s="7"/>
    </row>
    <row r="967" ht="15.75" customHeight="1">
      <c r="B967" s="7"/>
      <c r="C967" s="7"/>
      <c r="D967" s="7"/>
      <c r="E967" s="7"/>
    </row>
    <row r="968" ht="15.75" customHeight="1">
      <c r="B968" s="7"/>
      <c r="C968" s="7"/>
      <c r="D968" s="7"/>
      <c r="E968" s="7"/>
    </row>
    <row r="969" ht="15.75" customHeight="1">
      <c r="B969" s="7"/>
      <c r="C969" s="7"/>
      <c r="D969" s="7"/>
      <c r="E969" s="7"/>
    </row>
    <row r="970" ht="15.75" customHeight="1">
      <c r="B970" s="7"/>
      <c r="C970" s="7"/>
      <c r="D970" s="7"/>
      <c r="E970" s="7"/>
    </row>
    <row r="971" ht="15.75" customHeight="1">
      <c r="B971" s="7"/>
      <c r="C971" s="7"/>
      <c r="D971" s="7"/>
      <c r="E971" s="7"/>
    </row>
    <row r="972" ht="15.75" customHeight="1">
      <c r="B972" s="7"/>
      <c r="C972" s="7"/>
      <c r="D972" s="7"/>
      <c r="E972" s="7"/>
    </row>
    <row r="973" ht="15.75" customHeight="1">
      <c r="B973" s="7"/>
      <c r="C973" s="7"/>
      <c r="D973" s="7"/>
      <c r="E973" s="7"/>
    </row>
    <row r="974" ht="15.75" customHeight="1">
      <c r="B974" s="7"/>
      <c r="C974" s="7"/>
      <c r="D974" s="7"/>
      <c r="E974" s="7"/>
    </row>
    <row r="975" ht="15.75" customHeight="1">
      <c r="B975" s="7"/>
      <c r="C975" s="7"/>
      <c r="D975" s="7"/>
      <c r="E975" s="7"/>
    </row>
    <row r="976" ht="15.75" customHeight="1">
      <c r="B976" s="7"/>
      <c r="C976" s="7"/>
      <c r="D976" s="7"/>
      <c r="E976" s="7"/>
    </row>
    <row r="977" ht="15.75" customHeight="1">
      <c r="B977" s="7"/>
      <c r="C977" s="7"/>
      <c r="D977" s="7"/>
      <c r="E977" s="7"/>
    </row>
    <row r="978" ht="15.75" customHeight="1">
      <c r="B978" s="7"/>
      <c r="C978" s="7"/>
      <c r="D978" s="7"/>
      <c r="E978" s="7"/>
    </row>
    <row r="979" ht="15.75" customHeight="1">
      <c r="B979" s="7"/>
      <c r="C979" s="7"/>
      <c r="D979" s="7"/>
      <c r="E979" s="7"/>
    </row>
    <row r="980" ht="15.75" customHeight="1">
      <c r="B980" s="7"/>
      <c r="C980" s="7"/>
      <c r="D980" s="7"/>
      <c r="E980" s="7"/>
    </row>
    <row r="981" ht="15.75" customHeight="1">
      <c r="B981" s="7"/>
      <c r="C981" s="7"/>
      <c r="D981" s="7"/>
      <c r="E981" s="7"/>
    </row>
    <row r="982" ht="15.75" customHeight="1">
      <c r="B982" s="7"/>
      <c r="C982" s="7"/>
      <c r="D982" s="7"/>
      <c r="E982" s="7"/>
    </row>
    <row r="983" ht="15.75" customHeight="1">
      <c r="B983" s="7"/>
      <c r="C983" s="7"/>
      <c r="D983" s="7"/>
      <c r="E983" s="7"/>
    </row>
    <row r="984" ht="15.75" customHeight="1">
      <c r="B984" s="7"/>
      <c r="C984" s="7"/>
      <c r="D984" s="7"/>
      <c r="E984" s="7"/>
    </row>
    <row r="985" ht="15.75" customHeight="1">
      <c r="B985" s="7"/>
      <c r="C985" s="7"/>
      <c r="D985" s="7"/>
      <c r="E985" s="7"/>
    </row>
    <row r="986" ht="15.75" customHeight="1">
      <c r="B986" s="7"/>
      <c r="C986" s="7"/>
      <c r="D986" s="7"/>
      <c r="E986" s="7"/>
    </row>
    <row r="987" ht="15.75" customHeight="1">
      <c r="B987" s="7"/>
      <c r="C987" s="7"/>
      <c r="D987" s="7"/>
      <c r="E987" s="7"/>
    </row>
    <row r="988" ht="15.75" customHeight="1">
      <c r="B988" s="7"/>
      <c r="C988" s="7"/>
      <c r="D988" s="7"/>
      <c r="E988" s="7"/>
    </row>
    <row r="989" ht="15.75" customHeight="1">
      <c r="B989" s="7"/>
      <c r="C989" s="7"/>
      <c r="D989" s="7"/>
      <c r="E989" s="7"/>
    </row>
    <row r="990" ht="15.75" customHeight="1">
      <c r="B990" s="7"/>
      <c r="C990" s="7"/>
      <c r="D990" s="7"/>
      <c r="E990" s="7"/>
    </row>
    <row r="991" ht="15.75" customHeight="1">
      <c r="B991" s="7"/>
      <c r="C991" s="7"/>
      <c r="D991" s="7"/>
      <c r="E991" s="7"/>
    </row>
    <row r="992" ht="15.75" customHeight="1">
      <c r="B992" s="7"/>
      <c r="C992" s="7"/>
      <c r="D992" s="7"/>
      <c r="E992" s="7"/>
    </row>
    <row r="993" ht="15.75" customHeight="1">
      <c r="B993" s="7"/>
      <c r="C993" s="7"/>
      <c r="D993" s="7"/>
      <c r="E993" s="7"/>
    </row>
    <row r="994" ht="15.75" customHeight="1">
      <c r="B994" s="7"/>
      <c r="C994" s="7"/>
      <c r="D994" s="7"/>
      <c r="E994" s="7"/>
    </row>
    <row r="995" ht="15.75" customHeight="1">
      <c r="B995" s="7"/>
      <c r="C995" s="7"/>
      <c r="D995" s="7"/>
      <c r="E995" s="7"/>
    </row>
    <row r="996" ht="15.75" customHeight="1">
      <c r="B996" s="7"/>
      <c r="C996" s="7"/>
      <c r="D996" s="7"/>
      <c r="E996" s="7"/>
    </row>
    <row r="997" ht="15.75" customHeight="1">
      <c r="B997" s="7"/>
      <c r="C997" s="7"/>
      <c r="D997" s="7"/>
      <c r="E997" s="7"/>
    </row>
    <row r="998" ht="15.75" customHeight="1">
      <c r="B998" s="7"/>
      <c r="C998" s="7"/>
      <c r="D998" s="7"/>
      <c r="E998" s="7"/>
    </row>
    <row r="999" ht="15.75" customHeight="1">
      <c r="B999" s="7"/>
      <c r="C999" s="7"/>
      <c r="D999" s="7"/>
      <c r="E999" s="7"/>
    </row>
    <row r="1000" ht="15.75" customHeight="1">
      <c r="B1000" s="7"/>
      <c r="C1000" s="7"/>
      <c r="D1000" s="7"/>
      <c r="E1000" s="7"/>
    </row>
  </sheetData>
  <mergeCells count="4">
    <mergeCell ref="B1:G1"/>
    <mergeCell ref="C3:G3"/>
    <mergeCell ref="C4:G4"/>
    <mergeCell ref="B6:E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" t="s">
        <v>2</v>
      </c>
    </row>
    <row r="2" ht="15.75" customHeight="1">
      <c r="C2" s="7"/>
      <c r="D2" s="7"/>
      <c r="E2" s="7"/>
      <c r="F2" s="7"/>
    </row>
    <row r="3" ht="15.75" customHeight="1">
      <c r="B3" s="5" t="s">
        <v>4</v>
      </c>
      <c r="C3" s="23" t="s">
        <v>13</v>
      </c>
      <c r="D3" s="25"/>
      <c r="E3" s="25"/>
      <c r="F3" s="25"/>
      <c r="G3" s="26"/>
    </row>
    <row r="4" ht="15.75" customHeight="1">
      <c r="B4" s="5" t="s">
        <v>5</v>
      </c>
      <c r="C4" s="32">
        <f t="array" ref="C4">IFERROR(_xlfn.XLOOKUP(TRIM(C3), Competencias_actuales!L15:L1000, Competencias_actuales!K15:K1000), "Código no encontrado")</f>
        <v>771</v>
      </c>
      <c r="D4" s="25"/>
      <c r="E4" s="25"/>
      <c r="F4" s="25"/>
      <c r="G4" s="26"/>
      <c r="H4" s="35" t="str">
        <f>C4&amp;" - "&amp;C3</f>
        <v>771 - Introducción a la Programación y Computación 2</v>
      </c>
      <c r="I4" s="8"/>
      <c r="J4" s="8"/>
    </row>
    <row r="5" ht="15.75" customHeight="1">
      <c r="C5" s="7"/>
      <c r="D5" s="7"/>
      <c r="E5" s="7"/>
      <c r="F5" s="7"/>
    </row>
    <row r="6" ht="15.75" customHeight="1">
      <c r="B6" s="36" t="s">
        <v>25</v>
      </c>
      <c r="C6" s="37" t="s">
        <v>19</v>
      </c>
      <c r="D6" s="37" t="s">
        <v>20</v>
      </c>
      <c r="E6" s="37" t="s">
        <v>21</v>
      </c>
      <c r="F6" s="39" t="s">
        <v>29</v>
      </c>
      <c r="G6" s="40" t="s">
        <v>31</v>
      </c>
      <c r="H6" s="40" t="s">
        <v>32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7" s="7" t="str">
        <f>IFERROR(__xludf.DUMMYFUNCTION("""COMPUTED_VALUE"""),"1. Introducción a Python")</f>
        <v>1. Introducción a Python</v>
      </c>
      <c r="E7" s="7" t="str">
        <f>IFERROR(__xludf.DUMMYFUNCTION("""COMPUTED_VALUE"""),"Introducción y Presentación")</f>
        <v>Introducción y Presentación</v>
      </c>
      <c r="F7" s="7" t="str">
        <f>IFERROR(__xludf.DUMMYFUNCTION("""COMPUTED_VALUE"""),"Instalación de Python 3.X.X")</f>
        <v>Instalación de Python 3.X.X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8" s="7" t="str">
        <f>IFERROR(__xludf.DUMMYFUNCTION("""COMPUTED_VALUE"""),"1. Introducción a Python")</f>
        <v>1. Introducción a Python</v>
      </c>
      <c r="E8" s="7" t="str">
        <f>IFERROR(__xludf.DUMMYFUNCTION("""COMPUTED_VALUE"""),"Introducción y Presentación")</f>
        <v>Introducción y Presentación</v>
      </c>
      <c r="F8" s="7" t="str">
        <f>IFERROR(__xludf.DUMMYFUNCTION("""COMPUTED_VALUE"""),"Instalación del entorno de desarrollo")</f>
        <v>Instalación del entorno de desarrollo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9" s="7" t="str">
        <f>IFERROR(__xludf.DUMMYFUNCTION("""COMPUTED_VALUE"""),"1. Introducción a Python")</f>
        <v>1. Introducción a Python</v>
      </c>
      <c r="E9" s="7" t="str">
        <f>IFERROR(__xludf.DUMMYFUNCTION("""COMPUTED_VALUE"""),"Introducción y Presentación")</f>
        <v>Introducción y Presentación</v>
      </c>
      <c r="F9" s="7" t="str">
        <f>IFERROR(__xludf.DUMMYFUNCTION("""COMPUTED_VALUE"""),"Variables, Expresiones y sentencias")</f>
        <v>Variables, Expresiones y sentencias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0" s="7" t="str">
        <f>IFERROR(__xludf.DUMMYFUNCTION("""COMPUTED_VALUE"""),"1. Introducción a Python")</f>
        <v>1. Introducción a Python</v>
      </c>
      <c r="E10" s="7" t="str">
        <f>IFERROR(__xludf.DUMMYFUNCTION("""COMPUTED_VALUE"""),"Introducción y Presentación")</f>
        <v>Introducción y Presentación</v>
      </c>
      <c r="F10" s="7" t="str">
        <f>IFERROR(__xludf.DUMMYFUNCTION("""COMPUTED_VALUE"""),"Ejecuciones condicionales")</f>
        <v>Ejecuciones condicionales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1" s="7" t="str">
        <f>IFERROR(__xludf.DUMMYFUNCTION("""COMPUTED_VALUE"""),"1. Introducción a Python")</f>
        <v>1. Introducción a Python</v>
      </c>
      <c r="E11" s="7" t="str">
        <f>IFERROR(__xludf.DUMMYFUNCTION("""COMPUTED_VALUE"""),"Introducción y Presentación")</f>
        <v>Introducción y Presentación</v>
      </c>
      <c r="F11" s="7" t="str">
        <f>IFERROR(__xludf.DUMMYFUNCTION("""COMPUTED_VALUE"""),"Funciones")</f>
        <v>Funciones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2" s="7" t="str">
        <f>IFERROR(__xludf.DUMMYFUNCTION("""COMPUTED_VALUE"""),"1. Introducción a Python")</f>
        <v>1. Introducción a Python</v>
      </c>
      <c r="E12" s="7" t="str">
        <f>IFERROR(__xludf.DUMMYFUNCTION("""COMPUTED_VALUE"""),"Introducción y Presentación")</f>
        <v>Introducción y Presentación</v>
      </c>
      <c r="F12" s="7" t="str">
        <f>IFERROR(__xludf.DUMMYFUNCTION("""COMPUTED_VALUE"""),"Iteración")</f>
        <v>Iteración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3" s="7" t="str">
        <f>IFERROR(__xludf.DUMMYFUNCTION("""COMPUTED_VALUE"""),"1. Introducción a Python")</f>
        <v>1. Introducción a Python</v>
      </c>
      <c r="E13" s="7" t="str">
        <f>IFERROR(__xludf.DUMMYFUNCTION("""COMPUTED_VALUE"""),"Introducción y Presentación")</f>
        <v>Introducción y Presentación</v>
      </c>
      <c r="F13" s="7" t="str">
        <f>IFERROR(__xludf.DUMMYFUNCTION("""COMPUTED_VALUE"""),"Strings")</f>
        <v>Strings</v>
      </c>
      <c r="G13" s="41" t="str">
        <f>IFERROR(__xludf.DUMMYFUNCTION("""COMPUTED_VALUE"""),"Julio")</f>
        <v>Julio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4" s="7" t="str">
        <f>IFERROR(__xludf.DUMMYFUNCTION("""COMPUTED_VALUE"""),"1. Introducción a Python")</f>
        <v>1. Introducción a Python</v>
      </c>
      <c r="E14" s="7" t="str">
        <f>IFERROR(__xludf.DUMMYFUNCTION("""COMPUTED_VALUE"""),"Programación Orientada a Objetos en Python")</f>
        <v>Programación Orientada a Objetos en Python</v>
      </c>
      <c r="F14" s="7" t="str">
        <f>IFERROR(__xludf.DUMMYFUNCTION("""COMPUTED_VALUE"""),"Introducción al paradigma de POO")</f>
        <v>Introducción al paradigma de POO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5" s="7" t="str">
        <f>IFERROR(__xludf.DUMMYFUNCTION("""COMPUTED_VALUE"""),"1. Introducción a Python")</f>
        <v>1. Introducción a Python</v>
      </c>
      <c r="E15" s="7" t="str">
        <f>IFERROR(__xludf.DUMMYFUNCTION("""COMPUTED_VALUE"""),"Programación Orientada a Objetos en Python")</f>
        <v>Programación Orientada a Objetos en Python</v>
      </c>
      <c r="F15" s="7" t="str">
        <f>IFERROR(__xludf.DUMMYFUNCTION("""COMPUTED_VALUE"""),"Clases y Objetos(Métodos y Atributos)")</f>
        <v>Clases y Objetos(Métodos y Atributos)</v>
      </c>
      <c r="G15" s="41" t="str">
        <f>IFERROR(__xludf.DUMMYFUNCTION("""COMPUTED_VALUE"""),"Julio")</f>
        <v>Julio</v>
      </c>
      <c r="H15" s="41">
        <f>IFERROR(__xludf.DUMMYFUNCTION("""COMPUTED_VALUE"""),2.0)</f>
        <v>2</v>
      </c>
    </row>
    <row r="16" ht="15.75" customHeight="1">
      <c r="B16" s="41">
        <f>IFERROR(__xludf.DUMMYFUNCTION("""COMPUTED_VALUE"""),10.0)</f>
        <v>10</v>
      </c>
      <c r="C16" s="7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6" s="7" t="str">
        <f>IFERROR(__xludf.DUMMYFUNCTION("""COMPUTED_VALUE"""),"1. Introducción a Python")</f>
        <v>1. Introducción a Python</v>
      </c>
      <c r="E16" s="7" t="str">
        <f>IFERROR(__xludf.DUMMYFUNCTION("""COMPUTED_VALUE"""),"Programación Orientada a Objetos en Python")</f>
        <v>Programación Orientada a Objetos en Python</v>
      </c>
      <c r="F16" s="7" t="str">
        <f>IFERROR(__xludf.DUMMYFUNCTION("""COMPUTED_VALUE"""),"Pilares de la POO (Herencia, Abstracción, Polimosfismo, Encapsulamiento)")</f>
        <v>Pilares de la POO (Herencia, Abstracción, Polimosfismo, Encapsulamiento)</v>
      </c>
      <c r="G16" s="41" t="str">
        <f>IFERROR(__xludf.DUMMYFUNCTION("""COMPUTED_VALUE"""),"Julio")</f>
        <v>Julio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7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7" s="7" t="str">
        <f>IFERROR(__xludf.DUMMYFUNCTION("""COMPUTED_VALUE"""),"2. Manejo de versiones")</f>
        <v>2. Manejo de versiones</v>
      </c>
      <c r="E17" s="7" t="str">
        <f>IFERROR(__xludf.DUMMYFUNCTION("""COMPUTED_VALUE"""),"Git Workflow")</f>
        <v>Git Workflow</v>
      </c>
      <c r="F17" s="7" t="str">
        <f>IFERROR(__xludf.DUMMYFUNCTION("""COMPUTED_VALUE"""),"Introducción a GIT y Control de versiones")</f>
        <v>Introducción a GIT y Control de versiones</v>
      </c>
      <c r="G17" s="41" t="str">
        <f>IFERROR(__xludf.DUMMYFUNCTION("""COMPUTED_VALUE"""),"Agosto")</f>
        <v>Agosto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7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8" s="7" t="str">
        <f>IFERROR(__xludf.DUMMYFUNCTION("""COMPUTED_VALUE"""),"2. Manejo de versiones")</f>
        <v>2. Manejo de versiones</v>
      </c>
      <c r="E18" s="7" t="str">
        <f>IFERROR(__xludf.DUMMYFUNCTION("""COMPUTED_VALUE"""),"Git Workflow")</f>
        <v>Git Workflow</v>
      </c>
      <c r="F18" s="7" t="str">
        <f>IFERROR(__xludf.DUMMYFUNCTION("""COMPUTED_VALUE"""),"Fundamentos de control de versiones con Git y su Configuracion Inicial para el versionamiento de proyectos")</f>
        <v>Fundamentos de control de versiones con Git y su Configuracion Inicial para el versionamiento de proyectos</v>
      </c>
      <c r="G18" s="41" t="str">
        <f>IFERROR(__xludf.DUMMYFUNCTION("""COMPUTED_VALUE"""),"Agosto")</f>
        <v>Agosto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7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9" s="7" t="str">
        <f>IFERROR(__xludf.DUMMYFUNCTION("""COMPUTED_VALUE"""),"2. Manejo de versiones")</f>
        <v>2. Manejo de versiones</v>
      </c>
      <c r="E19" s="7" t="str">
        <f>IFERROR(__xludf.DUMMYFUNCTION("""COMPUTED_VALUE"""),"Git Workflow")</f>
        <v>Git Workflow</v>
      </c>
      <c r="F19" s="7" t="str">
        <f>IFERROR(__xludf.DUMMYFUNCTION("""COMPUTED_VALUE"""),"Git Flow: Implementación de Troncales y Ramas")</f>
        <v>Git Flow: Implementación de Troncales y Ramas</v>
      </c>
      <c r="G19" s="41" t="str">
        <f>IFERROR(__xludf.DUMMYFUNCTION("""COMPUTED_VALUE"""),"Agosto")</f>
        <v>Agosto</v>
      </c>
      <c r="H19" s="41">
        <f>IFERROR(__xludf.DUMMYFUNCTION("""COMPUTED_VALUE"""),2.0)</f>
        <v>2</v>
      </c>
    </row>
    <row r="20" ht="15.75" customHeight="1">
      <c r="B20" s="41">
        <f>IFERROR(__xludf.DUMMYFUNCTION("""COMPUTED_VALUE"""),14.0)</f>
        <v>14</v>
      </c>
      <c r="C20" s="7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20" s="7" t="str">
        <f>IFERROR(__xludf.DUMMYFUNCTION("""COMPUTED_VALUE"""),"2. Manejo de versiones")</f>
        <v>2. Manejo de versiones</v>
      </c>
      <c r="E20" s="7" t="str">
        <f>IFERROR(__xludf.DUMMYFUNCTION("""COMPUTED_VALUE"""),"Git Workflow")</f>
        <v>Git Workflow</v>
      </c>
      <c r="F20" s="7" t="str">
        <f>IFERROR(__xludf.DUMMYFUNCTION("""COMPUTED_VALUE"""),"Branching, Merging y Utilización de Etiquetas (Tags) en Git")</f>
        <v>Branching, Merging y Utilización de Etiquetas (Tags) en Git</v>
      </c>
      <c r="G20" s="41" t="str">
        <f>IFERROR(__xludf.DUMMYFUNCTION("""COMPUTED_VALUE"""),"Agosto")</f>
        <v>Agosto</v>
      </c>
      <c r="H20" s="41">
        <f>IFERROR(__xludf.DUMMYFUNCTION("""COMPUTED_VALUE"""),2.0)</f>
        <v>2</v>
      </c>
    </row>
    <row r="21" ht="15.75" customHeight="1">
      <c r="B21" s="41">
        <f>IFERROR(__xludf.DUMMYFUNCTION("""COMPUTED_VALUE"""),15.0)</f>
        <v>15</v>
      </c>
      <c r="C21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1" s="7" t="str">
        <f>IFERROR(__xludf.DUMMYFUNCTION("""COMPUTED_VALUE"""),"3. Procesamiento de datos XML")</f>
        <v>3. Procesamiento de datos XML</v>
      </c>
      <c r="E21" s="7" t="str">
        <f>IFERROR(__xludf.DUMMYFUNCTION("""COMPUTED_VALUE"""),"Lectura de actividades y XML")</f>
        <v>Lectura de actividades y XML</v>
      </c>
      <c r="F21" s="7" t="str">
        <f>IFERROR(__xludf.DUMMYFUNCTION("""COMPUTED_VALUE"""),"Introducción a bases de XML")</f>
        <v>Introducción a bases de XML</v>
      </c>
      <c r="G21" s="41" t="str">
        <f>IFERROR(__xludf.DUMMYFUNCTION("""COMPUTED_VALUE"""),"Agosto")</f>
        <v>Agosto</v>
      </c>
      <c r="H21" s="41">
        <f>IFERROR(__xludf.DUMMYFUNCTION("""COMPUTED_VALUE"""),3.0)</f>
        <v>3</v>
      </c>
    </row>
    <row r="22" ht="15.75" customHeight="1">
      <c r="B22" s="41">
        <f>IFERROR(__xludf.DUMMYFUNCTION("""COMPUTED_VALUE"""),16.0)</f>
        <v>16</v>
      </c>
      <c r="C22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2" s="7" t="str">
        <f>IFERROR(__xludf.DUMMYFUNCTION("""COMPUTED_VALUE"""),"3. Procesamiento de datos XML")</f>
        <v>3. Procesamiento de datos XML</v>
      </c>
      <c r="E22" s="7" t="str">
        <f>IFERROR(__xludf.DUMMYFUNCTION("""COMPUTED_VALUE"""),"Lectura de actividades y XML")</f>
        <v>Lectura de actividades y XML</v>
      </c>
      <c r="F22" s="7" t="str">
        <f>IFERROR(__xludf.DUMMYFUNCTION("""COMPUTED_VALUE"""),"Procesamiento de datos con libreria DOM")</f>
        <v>Procesamiento de datos con libreria DOM</v>
      </c>
      <c r="G22" s="41" t="str">
        <f>IFERROR(__xludf.DUMMYFUNCTION("""COMPUTED_VALUE"""),"Agosto")</f>
        <v>Agosto</v>
      </c>
      <c r="H22" s="41">
        <f>IFERROR(__xludf.DUMMYFUNCTION("""COMPUTED_VALUE"""),3.0)</f>
        <v>3</v>
      </c>
    </row>
    <row r="23" ht="15.75" customHeight="1">
      <c r="B23" s="41">
        <f>IFERROR(__xludf.DUMMYFUNCTION("""COMPUTED_VALUE"""),17.0)</f>
        <v>17</v>
      </c>
      <c r="C23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3" s="7" t="str">
        <f>IFERROR(__xludf.DUMMYFUNCTION("""COMPUTED_VALUE"""),"3. Procesamiento de datos XML")</f>
        <v>3. Procesamiento de datos XML</v>
      </c>
      <c r="E23" s="7" t="str">
        <f>IFERROR(__xludf.DUMMYFUNCTION("""COMPUTED_VALUE"""),"Lectura de actividades y XML")</f>
        <v>Lectura de actividades y XML</v>
      </c>
      <c r="F23" s="7" t="str">
        <f>IFERROR(__xludf.DUMMYFUNCTION("""COMPUTED_VALUE"""),"Procesamiento de datos con libreria ElemntTree")</f>
        <v>Procesamiento de datos con libreria ElemntTree</v>
      </c>
      <c r="G23" s="41" t="str">
        <f>IFERROR(__xludf.DUMMYFUNCTION("""COMPUTED_VALUE"""),"Agosto")</f>
        <v>Agosto</v>
      </c>
      <c r="H23" s="41">
        <f>IFERROR(__xludf.DUMMYFUNCTION("""COMPUTED_VALUE"""),3.0)</f>
        <v>3</v>
      </c>
    </row>
    <row r="24" ht="15.75" customHeight="1">
      <c r="B24" s="41">
        <f>IFERROR(__xludf.DUMMYFUNCTION("""COMPUTED_VALUE"""),18.0)</f>
        <v>18</v>
      </c>
      <c r="C24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4" s="7" t="str">
        <f>IFERROR(__xludf.DUMMYFUNCTION("""COMPUTED_VALUE"""),"3. Procesamiento de datos XML")</f>
        <v>3. Procesamiento de datos XML</v>
      </c>
      <c r="E24" s="7" t="str">
        <f>IFERROR(__xludf.DUMMYFUNCTION("""COMPUTED_VALUE"""),"Lectura de actividades y XML")</f>
        <v>Lectura de actividades y XML</v>
      </c>
      <c r="F24" s="7" t="str">
        <f>IFERROR(__xludf.DUMMYFUNCTION("""COMPUTED_VALUE"""),"Introduccion Xpath")</f>
        <v>Introduccion Xpath</v>
      </c>
      <c r="G24" s="41" t="str">
        <f>IFERROR(__xludf.DUMMYFUNCTION("""COMPUTED_VALUE"""),"Agosto")</f>
        <v>Agosto</v>
      </c>
      <c r="H24" s="41">
        <f>IFERROR(__xludf.DUMMYFUNCTION("""COMPUTED_VALUE"""),3.0)</f>
        <v>3</v>
      </c>
    </row>
    <row r="25" ht="15.75" customHeight="1">
      <c r="B25" s="41">
        <f>IFERROR(__xludf.DUMMYFUNCTION("""COMPUTED_VALUE"""),19.0)</f>
        <v>19</v>
      </c>
      <c r="C25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5" s="7" t="str">
        <f>IFERROR(__xludf.DUMMYFUNCTION("""COMPUTED_VALUE"""),"3. Procesamiento de datos XML")</f>
        <v>3. Procesamiento de datos XML</v>
      </c>
      <c r="E25" s="7" t="str">
        <f>IFERROR(__xludf.DUMMYFUNCTION("""COMPUTED_VALUE"""),"Lectura de actividades y XML")</f>
        <v>Lectura de actividades y XML</v>
      </c>
      <c r="F25" s="7" t="str">
        <f>IFERROR(__xludf.DUMMYFUNCTION("""COMPUTED_VALUE"""),"Procesamiento de datos con libreria Xpath")</f>
        <v>Procesamiento de datos con libreria Xpath</v>
      </c>
      <c r="G25" s="41" t="str">
        <f>IFERROR(__xludf.DUMMYFUNCTION("""COMPUTED_VALUE"""),"Agosto")</f>
        <v>Agosto</v>
      </c>
      <c r="H25" s="41">
        <f>IFERROR(__xludf.DUMMYFUNCTION("""COMPUTED_VALUE"""),3.0)</f>
        <v>3</v>
      </c>
    </row>
    <row r="26" ht="15.75" customHeight="1">
      <c r="B26" s="41">
        <f>IFERROR(__xludf.DUMMYFUNCTION("""COMPUTED_VALUE"""),20.0)</f>
        <v>20</v>
      </c>
      <c r="C26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6" s="7" t="str">
        <f>IFERROR(__xludf.DUMMYFUNCTION("""COMPUTED_VALUE"""),"3. Procesamiento de datos XML")</f>
        <v>3. Procesamiento de datos XML</v>
      </c>
      <c r="E26" s="7" t="str">
        <f>IFERROR(__xludf.DUMMYFUNCTION("""COMPUTED_VALUE"""),"Lectura de actividades y XML")</f>
        <v>Lectura de actividades y XML</v>
      </c>
      <c r="F26" s="7" t="str">
        <f>IFERROR(__xludf.DUMMYFUNCTION("""COMPUTED_VALUE"""),"Lectura XML")</f>
        <v>Lectura XML</v>
      </c>
      <c r="G26" s="41" t="str">
        <f>IFERROR(__xludf.DUMMYFUNCTION("""COMPUTED_VALUE"""),"Agosto")</f>
        <v>Agosto</v>
      </c>
      <c r="H26" s="41">
        <f>IFERROR(__xludf.DUMMYFUNCTION("""COMPUTED_VALUE"""),3.0)</f>
        <v>3</v>
      </c>
    </row>
    <row r="27" ht="15.75" customHeight="1">
      <c r="B27" s="41">
        <f>IFERROR(__xludf.DUMMYFUNCTION("""COMPUTED_VALUE"""),21.0)</f>
        <v>21</v>
      </c>
      <c r="C27" s="7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7" s="7" t="str">
        <f>IFERROR(__xludf.DUMMYFUNCTION("""COMPUTED_VALUE"""),"3. Procesamiento de datos XML")</f>
        <v>3. Procesamiento de datos XML</v>
      </c>
      <c r="E27" s="7" t="str">
        <f>IFERROR(__xludf.DUMMYFUNCTION("""COMPUTED_VALUE"""),"Lectura de actividades y XML")</f>
        <v>Lectura de actividades y XML</v>
      </c>
      <c r="F27" s="7" t="str">
        <f>IFERROR(__xludf.DUMMYFUNCTION("""COMPUTED_VALUE"""),"Escritura XML")</f>
        <v>Escritura XML</v>
      </c>
      <c r="G27" s="41" t="str">
        <f>IFERROR(__xludf.DUMMYFUNCTION("""COMPUTED_VALUE"""),"Agosto")</f>
        <v>Agosto</v>
      </c>
      <c r="H27" s="41">
        <f>IFERROR(__xludf.DUMMYFUNCTION("""COMPUTED_VALUE"""),3.0)</f>
        <v>3</v>
      </c>
    </row>
    <row r="28" ht="15.75" customHeight="1">
      <c r="B28" s="41">
        <f>IFERROR(__xludf.DUMMYFUNCTION("""COMPUTED_VALUE"""),22.0)</f>
        <v>22</v>
      </c>
      <c r="C28" s="7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28" s="7" t="str">
        <f>IFERROR(__xludf.DUMMYFUNCTION("""COMPUTED_VALUE"""),"4. Estructuras de Datos")</f>
        <v>4. Estructuras de Datos</v>
      </c>
      <c r="E28" s="7" t="str">
        <f>IFERROR(__xludf.DUMMYFUNCTION("""COMPUTED_VALUE"""),"Tuplas, Listas y Diccionarios Nativos de Python")</f>
        <v>Tuplas, Listas y Diccionarios Nativos de Python</v>
      </c>
      <c r="F28" s="7" t="str">
        <f>IFERROR(__xludf.DUMMYFUNCTION("""COMPUTED_VALUE"""),"Introduccion estructuras de datos")</f>
        <v>Introduccion estructuras de datos</v>
      </c>
      <c r="G28" s="41" t="str">
        <f>IFERROR(__xludf.DUMMYFUNCTION("""COMPUTED_VALUE"""),"Agosto")</f>
        <v>Agosto</v>
      </c>
      <c r="H28" s="41">
        <f>IFERROR(__xludf.DUMMYFUNCTION("""COMPUTED_VALUE"""),4.0)</f>
        <v>4</v>
      </c>
    </row>
    <row r="29" ht="15.75" customHeight="1">
      <c r="B29" s="41">
        <f>IFERROR(__xludf.DUMMYFUNCTION("""COMPUTED_VALUE"""),23.0)</f>
        <v>23</v>
      </c>
      <c r="C29" s="7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29" s="7" t="str">
        <f>IFERROR(__xludf.DUMMYFUNCTION("""COMPUTED_VALUE"""),"4. Estructuras de Datos")</f>
        <v>4. Estructuras de Datos</v>
      </c>
      <c r="E29" s="7" t="str">
        <f>IFERROR(__xludf.DUMMYFUNCTION("""COMPUTED_VALUE"""),"Tuplas, Listas y Diccionarios Nativos de Python ")</f>
        <v>Tuplas, Listas y Diccionarios Nativos de Python </v>
      </c>
      <c r="F29" s="7" t="str">
        <f>IFERROR(__xludf.DUMMYFUNCTION("""COMPUTED_VALUE"""),"Listas nativas de python")</f>
        <v>Listas nativas de python</v>
      </c>
      <c r="G29" s="41" t="str">
        <f>IFERROR(__xludf.DUMMYFUNCTION("""COMPUTED_VALUE"""),"Agosto")</f>
        <v>Agosto</v>
      </c>
      <c r="H29" s="41">
        <f>IFERROR(__xludf.DUMMYFUNCTION("""COMPUTED_VALUE"""),4.0)</f>
        <v>4</v>
      </c>
    </row>
    <row r="30" ht="15.75" customHeight="1">
      <c r="B30" s="41">
        <f>IFERROR(__xludf.DUMMYFUNCTION("""COMPUTED_VALUE"""),24.0)</f>
        <v>24</v>
      </c>
      <c r="C30" s="7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0" s="7" t="str">
        <f>IFERROR(__xludf.DUMMYFUNCTION("""COMPUTED_VALUE"""),"4. Estructuras de Datos")</f>
        <v>4. Estructuras de Datos</v>
      </c>
      <c r="E30" s="7" t="str">
        <f>IFERROR(__xludf.DUMMYFUNCTION("""COMPUTED_VALUE"""),"Tuplas, Listas y Diccionarios Nativos de Python ")</f>
        <v>Tuplas, Listas y Diccionarios Nativos de Python </v>
      </c>
      <c r="F30" s="7" t="str">
        <f>IFERROR(__xludf.DUMMYFUNCTION("""COMPUTED_VALUE"""),"Ficheros")</f>
        <v>Ficheros</v>
      </c>
      <c r="G30" s="41" t="str">
        <f>IFERROR(__xludf.DUMMYFUNCTION("""COMPUTED_VALUE"""),"Agosto")</f>
        <v>Agosto</v>
      </c>
      <c r="H30" s="41">
        <f>IFERROR(__xludf.DUMMYFUNCTION("""COMPUTED_VALUE"""),4.0)</f>
        <v>4</v>
      </c>
    </row>
    <row r="31" ht="15.75" customHeight="1">
      <c r="B31" s="41">
        <f>IFERROR(__xludf.DUMMYFUNCTION("""COMPUTED_VALUE"""),25.0)</f>
        <v>25</v>
      </c>
      <c r="C31" s="7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1" s="7" t="str">
        <f>IFERROR(__xludf.DUMMYFUNCTION("""COMPUTED_VALUE"""),"4. Estructuras de Datos")</f>
        <v>4. Estructuras de Datos</v>
      </c>
      <c r="E31" s="7" t="str">
        <f>IFERROR(__xludf.DUMMYFUNCTION("""COMPUTED_VALUE"""),"Tuplas, Listas y Diccionarios Nativos de Python")</f>
        <v>Tuplas, Listas y Diccionarios Nativos de Python</v>
      </c>
      <c r="F31" s="7" t="str">
        <f>IFERROR(__xludf.DUMMYFUNCTION("""COMPUTED_VALUE"""),"Diccionarios")</f>
        <v>Diccionarios</v>
      </c>
      <c r="G31" s="41" t="str">
        <f>IFERROR(__xludf.DUMMYFUNCTION("""COMPUTED_VALUE"""),"Agosto")</f>
        <v>Agosto</v>
      </c>
      <c r="H31" s="41">
        <f>IFERROR(__xludf.DUMMYFUNCTION("""COMPUTED_VALUE"""),4.0)</f>
        <v>4</v>
      </c>
    </row>
    <row r="32" ht="15.75" customHeight="1">
      <c r="B32" s="41">
        <f>IFERROR(__xludf.DUMMYFUNCTION("""COMPUTED_VALUE"""),26.0)</f>
        <v>26</v>
      </c>
      <c r="C32" s="7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2" s="7" t="str">
        <f>IFERROR(__xludf.DUMMYFUNCTION("""COMPUTED_VALUE"""),"4. Estructuras de Datos")</f>
        <v>4. Estructuras de Datos</v>
      </c>
      <c r="E32" s="7" t="str">
        <f>IFERROR(__xludf.DUMMYFUNCTION("""COMPUTED_VALUE"""),"Tuplas, Listas y Diccionarios Nativos de Python")</f>
        <v>Tuplas, Listas y Diccionarios Nativos de Python</v>
      </c>
      <c r="F32" s="7" t="str">
        <f>IFERROR(__xludf.DUMMYFUNCTION("""COMPUTED_VALUE"""),"Tuplas")</f>
        <v>Tuplas</v>
      </c>
      <c r="G32" s="41" t="str">
        <f>IFERROR(__xludf.DUMMYFUNCTION("""COMPUTED_VALUE"""),"Agosto")</f>
        <v>Agosto</v>
      </c>
      <c r="H32" s="41">
        <f>IFERROR(__xludf.DUMMYFUNCTION("""COMPUTED_VALUE"""),4.0)</f>
        <v>4</v>
      </c>
    </row>
    <row r="33" ht="15.75" customHeight="1">
      <c r="B33" s="41">
        <f>IFERROR(__xludf.DUMMYFUNCTION("""COMPUTED_VALUE"""),27.0)</f>
        <v>27</v>
      </c>
      <c r="C33" s="7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3" s="7" t="str">
        <f>IFERROR(__xludf.DUMMYFUNCTION("""COMPUTED_VALUE"""),"4. Estructuras de Datos")</f>
        <v>4. Estructuras de Datos</v>
      </c>
      <c r="E33" s="7" t="str">
        <f>IFERROR(__xludf.DUMMYFUNCTION("""COMPUTED_VALUE"""),"Tuplas, Listas y Diccionarios Nativos de Python ")</f>
        <v>Tuplas, Listas y Diccionarios Nativos de Python </v>
      </c>
      <c r="F33" s="7" t="str">
        <f>IFERROR(__xludf.DUMMYFUNCTION("""COMPUTED_VALUE"""),"Expresiones regulares")</f>
        <v>Expresiones regulares</v>
      </c>
      <c r="G33" s="41" t="str">
        <f>IFERROR(__xludf.DUMMYFUNCTION("""COMPUTED_VALUE"""),"Agosto")</f>
        <v>Agosto</v>
      </c>
      <c r="H33" s="41">
        <f>IFERROR(__xludf.DUMMYFUNCTION("""COMPUTED_VALUE"""),4.0)</f>
        <v>4</v>
      </c>
    </row>
    <row r="34" ht="15.75" customHeight="1">
      <c r="B34" s="41">
        <f>IFERROR(__xludf.DUMMYFUNCTION("""COMPUTED_VALUE"""),28.0)</f>
        <v>28</v>
      </c>
      <c r="C34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4" s="7" t="str">
        <f>IFERROR(__xludf.DUMMYFUNCTION("""COMPUTED_VALUE"""),"4. Estructuras de Datos")</f>
        <v>4. Estructuras de Datos</v>
      </c>
      <c r="E34" s="7" t="str">
        <f>IFERROR(__xludf.DUMMYFUNCTION("""COMPUTED_VALUE"""),"Tuplas, Listas y Diccionarios Nativos de Python ")</f>
        <v>Tuplas, Listas y Diccionarios Nativos de Python </v>
      </c>
      <c r="F34" s="7" t="str">
        <f>IFERROR(__xludf.DUMMYFUNCTION("""COMPUTED_VALUE"""),"Introducción a  TDA's")</f>
        <v>Introducción a  TDA's</v>
      </c>
      <c r="G34" s="41" t="str">
        <f>IFERROR(__xludf.DUMMYFUNCTION("""COMPUTED_VALUE"""),"Agosto")</f>
        <v>Agosto</v>
      </c>
      <c r="H34" s="41">
        <f>IFERROR(__xludf.DUMMYFUNCTION("""COMPUTED_VALUE"""),4.0)</f>
        <v>4</v>
      </c>
    </row>
    <row r="35" ht="15.75" customHeight="1">
      <c r="B35" s="41">
        <f>IFERROR(__xludf.DUMMYFUNCTION("""COMPUTED_VALUE"""),29.0)</f>
        <v>29</v>
      </c>
      <c r="C35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5" s="7" t="str">
        <f>IFERROR(__xludf.DUMMYFUNCTION("""COMPUTED_VALUE"""),"4. Estructuras de Datos")</f>
        <v>4. Estructuras de Datos</v>
      </c>
      <c r="E35" s="7" t="str">
        <f>IFERROR(__xludf.DUMMYFUNCTION("""COMPUTED_VALUE"""),"TDA ")</f>
        <v>TDA </v>
      </c>
      <c r="F35" s="7" t="str">
        <f>IFERROR(__xludf.DUMMYFUNCTION("""COMPUTED_VALUE"""),"Concepto Lista enlazada simple")</f>
        <v>Concepto Lista enlazada simple</v>
      </c>
      <c r="G35" s="41" t="str">
        <f>IFERROR(__xludf.DUMMYFUNCTION("""COMPUTED_VALUE"""),"Agosto")</f>
        <v>Agosto</v>
      </c>
      <c r="H35" s="41">
        <f>IFERROR(__xludf.DUMMYFUNCTION("""COMPUTED_VALUE"""),5.0)</f>
        <v>5</v>
      </c>
    </row>
    <row r="36" ht="15.75" customHeight="1">
      <c r="B36" s="41">
        <f>IFERROR(__xludf.DUMMYFUNCTION("""COMPUTED_VALUE"""),30.0)</f>
        <v>30</v>
      </c>
      <c r="C36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6" s="7" t="str">
        <f>IFERROR(__xludf.DUMMYFUNCTION("""COMPUTED_VALUE"""),"4. Estructuras de Datos")</f>
        <v>4. Estructuras de Datos</v>
      </c>
      <c r="E36" s="7" t="str">
        <f>IFERROR(__xludf.DUMMYFUNCTION("""COMPUTED_VALUE"""),"TDA ")</f>
        <v>TDA </v>
      </c>
      <c r="F36" s="7" t="str">
        <f>IFERROR(__xludf.DUMMYFUNCTION("""COMPUTED_VALUE"""),"Operaciones en lista enlazada simple")</f>
        <v>Operaciones en lista enlazada simple</v>
      </c>
      <c r="G36" s="41" t="str">
        <f>IFERROR(__xludf.DUMMYFUNCTION("""COMPUTED_VALUE"""),"Agosto")</f>
        <v>Agosto</v>
      </c>
      <c r="H36" s="41">
        <f>IFERROR(__xludf.DUMMYFUNCTION("""COMPUTED_VALUE"""),5.0)</f>
        <v>5</v>
      </c>
    </row>
    <row r="37" ht="15.75" customHeight="1">
      <c r="B37" s="41">
        <f>IFERROR(__xludf.DUMMYFUNCTION("""COMPUTED_VALUE"""),31.0)</f>
        <v>31</v>
      </c>
      <c r="C37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7" s="7" t="str">
        <f>IFERROR(__xludf.DUMMYFUNCTION("""COMPUTED_VALUE"""),"4. Estructuras de Datos")</f>
        <v>4. Estructuras de Datos</v>
      </c>
      <c r="E37" s="7" t="str">
        <f>IFERROR(__xludf.DUMMYFUNCTION("""COMPUTED_VALUE"""),"TDA ")</f>
        <v>TDA </v>
      </c>
      <c r="F37" s="7" t="str">
        <f>IFERROR(__xludf.DUMMYFUNCTION("""COMPUTED_VALUE"""),"Concepto Lista enlazada doble")</f>
        <v>Concepto Lista enlazada doble</v>
      </c>
      <c r="G37" s="41" t="str">
        <f>IFERROR(__xludf.DUMMYFUNCTION("""COMPUTED_VALUE"""),"Agosto")</f>
        <v>Agosto</v>
      </c>
      <c r="H37" s="41">
        <f>IFERROR(__xludf.DUMMYFUNCTION("""COMPUTED_VALUE"""),5.0)</f>
        <v>5</v>
      </c>
    </row>
    <row r="38" ht="15.75" customHeight="1">
      <c r="B38" s="41">
        <f>IFERROR(__xludf.DUMMYFUNCTION("""COMPUTED_VALUE"""),32.0)</f>
        <v>32</v>
      </c>
      <c r="C38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8" s="7" t="str">
        <f>IFERROR(__xludf.DUMMYFUNCTION("""COMPUTED_VALUE"""),"4. Estructuras de Datos")</f>
        <v>4. Estructuras de Datos</v>
      </c>
      <c r="E38" s="7" t="str">
        <f>IFERROR(__xludf.DUMMYFUNCTION("""COMPUTED_VALUE"""),"TDA ")</f>
        <v>TDA </v>
      </c>
      <c r="F38" s="7" t="str">
        <f>IFERROR(__xludf.DUMMYFUNCTION("""COMPUTED_VALUE"""),"Operaciones en lista enlazada doble")</f>
        <v>Operaciones en lista enlazada doble</v>
      </c>
      <c r="G38" s="41" t="str">
        <f>IFERROR(__xludf.DUMMYFUNCTION("""COMPUTED_VALUE"""),"Agosto")</f>
        <v>Agosto</v>
      </c>
      <c r="H38" s="41">
        <f>IFERROR(__xludf.DUMMYFUNCTION("""COMPUTED_VALUE"""),5.0)</f>
        <v>5</v>
      </c>
    </row>
    <row r="39" ht="15.75" customHeight="1">
      <c r="B39" s="41">
        <f>IFERROR(__xludf.DUMMYFUNCTION("""COMPUTED_VALUE"""),33.0)</f>
        <v>33</v>
      </c>
      <c r="C39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9" s="7" t="str">
        <f>IFERROR(__xludf.DUMMYFUNCTION("""COMPUTED_VALUE"""),"4. Estructuras de Datos")</f>
        <v>4. Estructuras de Datos</v>
      </c>
      <c r="E39" s="7" t="str">
        <f>IFERROR(__xludf.DUMMYFUNCTION("""COMPUTED_VALUE"""),"TDA ")</f>
        <v>TDA </v>
      </c>
      <c r="F39" s="7" t="str">
        <f>IFERROR(__xludf.DUMMYFUNCTION("""COMPUTED_VALUE"""),"Concepto de lista circular")</f>
        <v>Concepto de lista circular</v>
      </c>
      <c r="G39" s="41" t="str">
        <f>IFERROR(__xludf.DUMMYFUNCTION("""COMPUTED_VALUE"""),"Agosto")</f>
        <v>Agosto</v>
      </c>
      <c r="H39" s="41">
        <f>IFERROR(__xludf.DUMMYFUNCTION("""COMPUTED_VALUE"""),5.0)</f>
        <v>5</v>
      </c>
    </row>
    <row r="40" ht="15.75" customHeight="1">
      <c r="B40" s="41">
        <f>IFERROR(__xludf.DUMMYFUNCTION("""COMPUTED_VALUE"""),34.0)</f>
        <v>34</v>
      </c>
      <c r="C40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0" s="7" t="str">
        <f>IFERROR(__xludf.DUMMYFUNCTION("""COMPUTED_VALUE"""),"4. Estructuras de Datos")</f>
        <v>4. Estructuras de Datos</v>
      </c>
      <c r="E40" s="7" t="str">
        <f>IFERROR(__xludf.DUMMYFUNCTION("""COMPUTED_VALUE"""),"TDA")</f>
        <v>TDA</v>
      </c>
      <c r="F40" s="7" t="str">
        <f>IFERROR(__xludf.DUMMYFUNCTION("""COMPUTED_VALUE"""),"Operaciones en listas circulares")</f>
        <v>Operaciones en listas circulares</v>
      </c>
      <c r="G40" s="41" t="str">
        <f>IFERROR(__xludf.DUMMYFUNCTION("""COMPUTED_VALUE"""),"Agosto")</f>
        <v>Agosto</v>
      </c>
      <c r="H40" s="41">
        <f>IFERROR(__xludf.DUMMYFUNCTION("""COMPUTED_VALUE"""),5.0)</f>
        <v>5</v>
      </c>
    </row>
    <row r="41" ht="15.75" customHeight="1">
      <c r="B41" s="41">
        <f>IFERROR(__xludf.DUMMYFUNCTION("""COMPUTED_VALUE"""),35.0)</f>
        <v>35</v>
      </c>
      <c r="C41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1" s="7" t="str">
        <f>IFERROR(__xludf.DUMMYFUNCTION("""COMPUTED_VALUE"""),"4. Estructuras de Datos")</f>
        <v>4. Estructuras de Datos</v>
      </c>
      <c r="E41" s="7" t="str">
        <f>IFERROR(__xludf.DUMMYFUNCTION("""COMPUTED_VALUE"""),"TDA ")</f>
        <v>TDA </v>
      </c>
      <c r="F41" s="7" t="str">
        <f>IFERROR(__xludf.DUMMYFUNCTION("""COMPUTED_VALUE"""),"Diferencia entre lista circular y no circular")</f>
        <v>Diferencia entre lista circular y no circular</v>
      </c>
      <c r="G41" s="41" t="str">
        <f>IFERROR(__xludf.DUMMYFUNCTION("""COMPUTED_VALUE"""),"Agosto")</f>
        <v>Agosto</v>
      </c>
      <c r="H41" s="41">
        <f>IFERROR(__xludf.DUMMYFUNCTION("""COMPUTED_VALUE"""),5.0)</f>
        <v>5</v>
      </c>
    </row>
    <row r="42" ht="15.75" customHeight="1">
      <c r="B42" s="41">
        <f>IFERROR(__xludf.DUMMYFUNCTION("""COMPUTED_VALUE"""),36.0)</f>
        <v>36</v>
      </c>
      <c r="C42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2" s="7" t="str">
        <f>IFERROR(__xludf.DUMMYFUNCTION("""COMPUTED_VALUE"""),"4. Estructuras de Datos")</f>
        <v>4. Estructuras de Datos</v>
      </c>
      <c r="E42" s="7" t="str">
        <f>IFERROR(__xludf.DUMMYFUNCTION("""COMPUTED_VALUE"""),"TDA y graphviz")</f>
        <v>TDA y graphviz</v>
      </c>
      <c r="F42" s="7" t="str">
        <f>IFERROR(__xludf.DUMMYFUNCTION("""COMPUTED_VALUE"""),"Concepto de lista doblemente circular")</f>
        <v>Concepto de lista doblemente circular</v>
      </c>
      <c r="G42" s="41" t="str">
        <f>IFERROR(__xludf.DUMMYFUNCTION("""COMPUTED_VALUE"""),"Agosto")</f>
        <v>Agosto</v>
      </c>
      <c r="H42" s="41">
        <f>IFERROR(__xludf.DUMMYFUNCTION("""COMPUTED_VALUE"""),6.0)</f>
        <v>6</v>
      </c>
    </row>
    <row r="43" ht="15.75" customHeight="1">
      <c r="B43" s="41">
        <f>IFERROR(__xludf.DUMMYFUNCTION("""COMPUTED_VALUE"""),37.0)</f>
        <v>37</v>
      </c>
      <c r="C43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3" s="7" t="str">
        <f>IFERROR(__xludf.DUMMYFUNCTION("""COMPUTED_VALUE"""),"4. Estructuras de Datos")</f>
        <v>4. Estructuras de Datos</v>
      </c>
      <c r="E43" s="7" t="str">
        <f>IFERROR(__xludf.DUMMYFUNCTION("""COMPUTED_VALUE"""),"TDA y graphviz")</f>
        <v>TDA y graphviz</v>
      </c>
      <c r="F43" s="7" t="str">
        <f>IFERROR(__xludf.DUMMYFUNCTION("""COMPUTED_VALUE"""),"Operaciones básicas en lista doblemente circular")</f>
        <v>Operaciones básicas en lista doblemente circular</v>
      </c>
      <c r="G43" s="41" t="str">
        <f>IFERROR(__xludf.DUMMYFUNCTION("""COMPUTED_VALUE"""),"Agosto")</f>
        <v>Agosto</v>
      </c>
      <c r="H43" s="41">
        <f>IFERROR(__xludf.DUMMYFUNCTION("""COMPUTED_VALUE"""),6.0)</f>
        <v>6</v>
      </c>
    </row>
    <row r="44" ht="15.75" customHeight="1">
      <c r="B44" s="41">
        <f>IFERROR(__xludf.DUMMYFUNCTION("""COMPUTED_VALUE"""),38.0)</f>
        <v>38</v>
      </c>
      <c r="C44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4" s="7" t="str">
        <f>IFERROR(__xludf.DUMMYFUNCTION("""COMPUTED_VALUE"""),"4. Estructuras de Datos")</f>
        <v>4. Estructuras de Datos</v>
      </c>
      <c r="E44" s="7" t="str">
        <f>IFERROR(__xludf.DUMMYFUNCTION("""COMPUTED_VALUE"""),"TDA y graphviz")</f>
        <v>TDA y graphviz</v>
      </c>
      <c r="F44" s="7" t="str">
        <f>IFERROR(__xludf.DUMMYFUNCTION("""COMPUTED_VALUE"""),"Ventajas y comparación frente a otras listas")</f>
        <v>Ventajas y comparación frente a otras listas</v>
      </c>
      <c r="G44" s="41" t="str">
        <f>IFERROR(__xludf.DUMMYFUNCTION("""COMPUTED_VALUE"""),"Agosto")</f>
        <v>Agosto</v>
      </c>
      <c r="H44" s="41">
        <f>IFERROR(__xludf.DUMMYFUNCTION("""COMPUTED_VALUE"""),6.0)</f>
        <v>6</v>
      </c>
    </row>
    <row r="45" ht="15.75" customHeight="1">
      <c r="B45" s="41">
        <f>IFERROR(__xludf.DUMMYFUNCTION("""COMPUTED_VALUE"""),39.0)</f>
        <v>39</v>
      </c>
      <c r="C45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5" s="7" t="str">
        <f>IFERROR(__xludf.DUMMYFUNCTION("""COMPUTED_VALUE"""),"4. Estructuras de Datos")</f>
        <v>4. Estructuras de Datos</v>
      </c>
      <c r="E45" s="7" t="str">
        <f>IFERROR(__xludf.DUMMYFUNCTION("""COMPUTED_VALUE"""),"TDA y graphviz")</f>
        <v>TDA y graphviz</v>
      </c>
      <c r="F45" s="7" t="str">
        <f>IFERROR(__xludf.DUMMYFUNCTION("""COMPUTED_VALUE"""),"Qué es Graphviz")</f>
        <v>Qué es Graphviz</v>
      </c>
      <c r="G45" s="41" t="str">
        <f>IFERROR(__xludf.DUMMYFUNCTION("""COMPUTED_VALUE"""),"Agosto")</f>
        <v>Agosto</v>
      </c>
      <c r="H45" s="41">
        <f>IFERROR(__xludf.DUMMYFUNCTION("""COMPUTED_VALUE"""),6.0)</f>
        <v>6</v>
      </c>
    </row>
    <row r="46" ht="15.75" customHeight="1">
      <c r="B46" s="41">
        <f>IFERROR(__xludf.DUMMYFUNCTION("""COMPUTED_VALUE"""),40.0)</f>
        <v>40</v>
      </c>
      <c r="C46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6" s="7" t="str">
        <f>IFERROR(__xludf.DUMMYFUNCTION("""COMPUTED_VALUE"""),"4. Estructuras de Datos")</f>
        <v>4. Estructuras de Datos</v>
      </c>
      <c r="E46" s="7" t="str">
        <f>IFERROR(__xludf.DUMMYFUNCTION("""COMPUTED_VALUE"""),"TDA y graphviz")</f>
        <v>TDA y graphviz</v>
      </c>
      <c r="F46" s="7" t="str">
        <f>IFERROR(__xludf.DUMMYFUNCTION("""COMPUTED_VALUE"""),"Cómo se usa Graphviz para TDA's")</f>
        <v>Cómo se usa Graphviz para TDA's</v>
      </c>
      <c r="G46" s="41" t="str">
        <f>IFERROR(__xludf.DUMMYFUNCTION("""COMPUTED_VALUE"""),"Agosto")</f>
        <v>Agosto</v>
      </c>
      <c r="H46" s="41">
        <f>IFERROR(__xludf.DUMMYFUNCTION("""COMPUTED_VALUE"""),6.0)</f>
        <v>6</v>
      </c>
    </row>
    <row r="47" ht="15.75" customHeight="1">
      <c r="B47" s="41">
        <f>IFERROR(__xludf.DUMMYFUNCTION("""COMPUTED_VALUE"""),41.0)</f>
        <v>41</v>
      </c>
      <c r="C47" s="7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7" s="7" t="str">
        <f>IFERROR(__xludf.DUMMYFUNCTION("""COMPUTED_VALUE"""),"4. Estructuras de Datos")</f>
        <v>4. Estructuras de Datos</v>
      </c>
      <c r="E47" s="7" t="str">
        <f>IFERROR(__xludf.DUMMYFUNCTION("""COMPUTED_VALUE"""),"TDA y graphviz")</f>
        <v>TDA y graphviz</v>
      </c>
      <c r="F47" s="7" t="str">
        <f>IFERROR(__xludf.DUMMYFUNCTION("""COMPUTED_VALUE"""),"Graficar TDA's con graphviz")</f>
        <v>Graficar TDA's con graphviz</v>
      </c>
      <c r="G47" s="41" t="str">
        <f>IFERROR(__xludf.DUMMYFUNCTION("""COMPUTED_VALUE"""),"Agosto")</f>
        <v>Agosto</v>
      </c>
      <c r="H47" s="41">
        <f>IFERROR(__xludf.DUMMYFUNCTION("""COMPUTED_VALUE"""),6.0)</f>
        <v>6</v>
      </c>
    </row>
    <row r="48" ht="15.75" customHeight="1">
      <c r="B48" s="41">
        <f>IFERROR(__xludf.DUMMYFUNCTION("""COMPUTED_VALUE"""),42.0)</f>
        <v>42</v>
      </c>
      <c r="C48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48" s="7" t="str">
        <f>IFERROR(__xludf.DUMMYFUNCTION("""COMPUTED_VALUE"""),"5. HTML5 y CSS")</f>
        <v>5. HTML5 y CSS</v>
      </c>
      <c r="E48" s="7" t="str">
        <f>IFERROR(__xludf.DUMMYFUNCTION("""COMPUTED_VALUE"""),"Introducción a HTML, CSS, JS")</f>
        <v>Introducción a HTML, CSS, JS</v>
      </c>
      <c r="F48" s="7" t="str">
        <f>IFERROR(__xludf.DUMMYFUNCTION("""COMPUTED_VALUE"""),"Introducción a HTML5")</f>
        <v>Introducción a HTML5</v>
      </c>
      <c r="G48" s="41" t="str">
        <f>IFERROR(__xludf.DUMMYFUNCTION("""COMPUTED_VALUE"""),"Agosto")</f>
        <v>Agosto</v>
      </c>
      <c r="H48" s="41">
        <f>IFERROR(__xludf.DUMMYFUNCTION("""COMPUTED_VALUE"""),7.0)</f>
        <v>7</v>
      </c>
    </row>
    <row r="49" ht="15.75" customHeight="1">
      <c r="B49" s="41">
        <f>IFERROR(__xludf.DUMMYFUNCTION("""COMPUTED_VALUE"""),43.0)</f>
        <v>43</v>
      </c>
      <c r="C49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49" s="7" t="str">
        <f>IFERROR(__xludf.DUMMYFUNCTION("""COMPUTED_VALUE"""),"5. HTML5 y CSS")</f>
        <v>5. HTML5 y CSS</v>
      </c>
      <c r="E49" s="7" t="str">
        <f>IFERROR(__xludf.DUMMYFUNCTION("""COMPUTED_VALUE"""),"Introducción a HTML, CSS, JS")</f>
        <v>Introducción a HTML, CSS, JS</v>
      </c>
      <c r="F49" s="7" t="str">
        <f>IFERROR(__xludf.DUMMYFUNCTION("""COMPUTED_VALUE"""),". Estructura básica de HTML5")</f>
        <v>. Estructura básica de HTML5</v>
      </c>
      <c r="G49" s="41" t="str">
        <f>IFERROR(__xludf.DUMMYFUNCTION("""COMPUTED_VALUE"""),"Agosto")</f>
        <v>Agosto</v>
      </c>
      <c r="H49" s="41">
        <f>IFERROR(__xludf.DUMMYFUNCTION("""COMPUTED_VALUE"""),7.0)</f>
        <v>7</v>
      </c>
    </row>
    <row r="50" ht="15.75" customHeight="1">
      <c r="B50" s="41">
        <f>IFERROR(__xludf.DUMMYFUNCTION("""COMPUTED_VALUE"""),44.0)</f>
        <v>44</v>
      </c>
      <c r="C50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0" s="7" t="str">
        <f>IFERROR(__xludf.DUMMYFUNCTION("""COMPUTED_VALUE"""),"5. HTML5 y CSS")</f>
        <v>5. HTML5 y CSS</v>
      </c>
      <c r="E50" s="7" t="str">
        <f>IFERROR(__xludf.DUMMYFUNCTION("""COMPUTED_VALUE"""),"Introducción a HTML, CSS, JS")</f>
        <v>Introducción a HTML, CSS, JS</v>
      </c>
      <c r="F50" s="7" t="str">
        <f>IFERROR(__xludf.DUMMYFUNCTION("""COMPUTED_VALUE"""),"Componentes básicos de HTML5")</f>
        <v>Componentes básicos de HTML5</v>
      </c>
      <c r="G50" s="41" t="str">
        <f>IFERROR(__xludf.DUMMYFUNCTION("""COMPUTED_VALUE"""),"Agosto")</f>
        <v>Agosto</v>
      </c>
      <c r="H50" s="41">
        <f>IFERROR(__xludf.DUMMYFUNCTION("""COMPUTED_VALUE"""),7.0)</f>
        <v>7</v>
      </c>
    </row>
    <row r="51" ht="15.75" customHeight="1">
      <c r="B51" s="41">
        <f>IFERROR(__xludf.DUMMYFUNCTION("""COMPUTED_VALUE"""),45.0)</f>
        <v>45</v>
      </c>
      <c r="C51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1" s="7" t="str">
        <f>IFERROR(__xludf.DUMMYFUNCTION("""COMPUTED_VALUE"""),"5. HTML5 y CSS")</f>
        <v>5. HTML5 y CSS</v>
      </c>
      <c r="E51" s="7" t="str">
        <f>IFERROR(__xludf.DUMMYFUNCTION("""COMPUTED_VALUE"""),"Introducción a HTML, CSS, JS")</f>
        <v>Introducción a HTML, CSS, JS</v>
      </c>
      <c r="F51" s="7" t="str">
        <f>IFERROR(__xludf.DUMMYFUNCTION("""COMPUTED_VALUE"""),"Introducción a CSS")</f>
        <v>Introducción a CSS</v>
      </c>
      <c r="G51" s="41" t="str">
        <f>IFERROR(__xludf.DUMMYFUNCTION("""COMPUTED_VALUE"""),"Agosto")</f>
        <v>Agosto</v>
      </c>
      <c r="H51" s="41">
        <f>IFERROR(__xludf.DUMMYFUNCTION("""COMPUTED_VALUE"""),7.0)</f>
        <v>7</v>
      </c>
    </row>
    <row r="52" ht="15.75" customHeight="1">
      <c r="B52" s="41">
        <f>IFERROR(__xludf.DUMMYFUNCTION("""COMPUTED_VALUE"""),46.0)</f>
        <v>46</v>
      </c>
      <c r="C52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2" s="7" t="str">
        <f>IFERROR(__xludf.DUMMYFUNCTION("""COMPUTED_VALUE"""),"5. HTML5 y CSS")</f>
        <v>5. HTML5 y CSS</v>
      </c>
      <c r="E52" s="7" t="str">
        <f>IFERROR(__xludf.DUMMYFUNCTION("""COMPUTED_VALUE"""),"Introducción a HTML, CSS, JS")</f>
        <v>Introducción a HTML, CSS, JS</v>
      </c>
      <c r="F52" s="7" t="str">
        <f>IFERROR(__xludf.DUMMYFUNCTION("""COMPUTED_VALUE"""),". Estructura básica de CSS")</f>
        <v>. Estructura básica de CSS</v>
      </c>
      <c r="G52" s="41" t="str">
        <f>IFERROR(__xludf.DUMMYFUNCTION("""COMPUTED_VALUE"""),"Agosto")</f>
        <v>Agosto</v>
      </c>
      <c r="H52" s="41">
        <f>IFERROR(__xludf.DUMMYFUNCTION("""COMPUTED_VALUE"""),7.0)</f>
        <v>7</v>
      </c>
    </row>
    <row r="53" ht="15.75" customHeight="1">
      <c r="B53" s="41">
        <f>IFERROR(__xludf.DUMMYFUNCTION("""COMPUTED_VALUE"""),47.0)</f>
        <v>47</v>
      </c>
      <c r="C53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3" s="7" t="str">
        <f>IFERROR(__xludf.DUMMYFUNCTION("""COMPUTED_VALUE"""),"5. HTML5 y CSS")</f>
        <v>5. HTML5 y CSS</v>
      </c>
      <c r="E53" s="7" t="str">
        <f>IFERROR(__xludf.DUMMYFUNCTION("""COMPUTED_VALUE"""),"Introducción a HTML, CSS, JS")</f>
        <v>Introducción a HTML, CSS, JS</v>
      </c>
      <c r="F53" s="7" t="str">
        <f>IFERROR(__xludf.DUMMYFUNCTION("""COMPUTED_VALUE"""),"Componentes básicos de CSS")</f>
        <v>Componentes básicos de CSS</v>
      </c>
      <c r="G53" s="41" t="str">
        <f>IFERROR(__xludf.DUMMYFUNCTION("""COMPUTED_VALUE"""),"Agosto")</f>
        <v>Agosto</v>
      </c>
      <c r="H53" s="41">
        <f>IFERROR(__xludf.DUMMYFUNCTION("""COMPUTED_VALUE"""),7.0)</f>
        <v>7</v>
      </c>
    </row>
    <row r="54" ht="15.75" customHeight="1">
      <c r="B54" s="41">
        <f>IFERROR(__xludf.DUMMYFUNCTION("""COMPUTED_VALUE"""),48.0)</f>
        <v>48</v>
      </c>
      <c r="C54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4" s="7" t="str">
        <f>IFERROR(__xludf.DUMMYFUNCTION("""COMPUTED_VALUE"""),"5. HTML5 y CSS")</f>
        <v>5. HTML5 y CSS</v>
      </c>
      <c r="E54" s="7" t="str">
        <f>IFERROR(__xludf.DUMMYFUNCTION("""COMPUTED_VALUE"""),"Introducción a HTML, CSS, JS")</f>
        <v>Introducción a HTML, CSS, JS</v>
      </c>
      <c r="F54" s="7" t="str">
        <f>IFERROR(__xludf.DUMMYFUNCTION("""COMPUTED_VALUE"""),"Ejemplos prácticos")</f>
        <v>Ejemplos prácticos</v>
      </c>
      <c r="G54" s="41" t="str">
        <f>IFERROR(__xludf.DUMMYFUNCTION("""COMPUTED_VALUE"""),"Agosto")</f>
        <v>Agosto</v>
      </c>
      <c r="H54" s="41">
        <f>IFERROR(__xludf.DUMMYFUNCTION("""COMPUTED_VALUE"""),7.0)</f>
        <v>7</v>
      </c>
    </row>
    <row r="55" ht="15.75" customHeight="1">
      <c r="B55" s="41">
        <f>IFERROR(__xludf.DUMMYFUNCTION("""COMPUTED_VALUE"""),49.0)</f>
        <v>49</v>
      </c>
      <c r="C55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5" s="7" t="str">
        <f>IFERROR(__xludf.DUMMYFUNCTION("""COMPUTED_VALUE"""),"6. Entorno para desarrollo Web en Python")</f>
        <v>6. Entorno para desarrollo Web en Python</v>
      </c>
      <c r="E55" s="7" t="str">
        <f>IFERROR(__xludf.DUMMYFUNCTION("""COMPUTED_VALUE"""),"Introducción a servidores web y Flask")</f>
        <v>Introducción a servidores web y Flask</v>
      </c>
      <c r="F55" s="7" t="str">
        <f>IFERROR(__xludf.DUMMYFUNCTION("""COMPUTED_VALUE"""),"Entorno para desarrollo Web en Python")</f>
        <v>Entorno para desarrollo Web en Python</v>
      </c>
      <c r="G55" s="41" t="str">
        <f>IFERROR(__xludf.DUMMYFUNCTION("""COMPUTED_VALUE"""),"Octubre")</f>
        <v>Octubre</v>
      </c>
      <c r="H55" s="41">
        <f>IFERROR(__xludf.DUMMYFUNCTION("""COMPUTED_VALUE"""),8.0)</f>
        <v>8</v>
      </c>
    </row>
    <row r="56" ht="15.75" customHeight="1">
      <c r="B56" s="41">
        <f>IFERROR(__xludf.DUMMYFUNCTION("""COMPUTED_VALUE"""),50.0)</f>
        <v>50</v>
      </c>
      <c r="C56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6" s="7" t="str">
        <f>IFERROR(__xludf.DUMMYFUNCTION("""COMPUTED_VALUE"""),"6. Entorno para desarrollo Web en Python")</f>
        <v>6. Entorno para desarrollo Web en Python</v>
      </c>
      <c r="E56" s="7" t="str">
        <f>IFERROR(__xludf.DUMMYFUNCTION("""COMPUTED_VALUE"""),"Introducción a servidores web y Flask")</f>
        <v>Introducción a servidores web y Flask</v>
      </c>
      <c r="F56" s="7" t="str">
        <f>IFERROR(__xludf.DUMMYFUNCTION("""COMPUTED_VALUE"""),"Flask")</f>
        <v>Flask</v>
      </c>
      <c r="G56" s="41" t="str">
        <f>IFERROR(__xludf.DUMMYFUNCTION("""COMPUTED_VALUE"""),"Octubre")</f>
        <v>Octubre</v>
      </c>
      <c r="H56" s="41">
        <f>IFERROR(__xludf.DUMMYFUNCTION("""COMPUTED_VALUE"""),8.0)</f>
        <v>8</v>
      </c>
    </row>
    <row r="57" ht="15.75" customHeight="1">
      <c r="B57" s="41">
        <f>IFERROR(__xludf.DUMMYFUNCTION("""COMPUTED_VALUE"""),51.0)</f>
        <v>51</v>
      </c>
      <c r="C57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7" s="7" t="str">
        <f>IFERROR(__xludf.DUMMYFUNCTION("""COMPUTED_VALUE"""),"6. Entorno para desarrollo Web en Python")</f>
        <v>6. Entorno para desarrollo Web en Python</v>
      </c>
      <c r="E57" s="7" t="str">
        <f>IFERROR(__xludf.DUMMYFUNCTION("""COMPUTED_VALUE"""),"Introducción a servidores web y Flask")</f>
        <v>Introducción a servidores web y Flask</v>
      </c>
      <c r="F57" s="7" t="str">
        <f>IFERROR(__xludf.DUMMYFUNCTION("""COMPUTED_VALUE"""),"Introducción a Flask y Configuración del Entorno")</f>
        <v>Introducción a Flask y Configuración del Entorno</v>
      </c>
      <c r="G57" s="41" t="str">
        <f>IFERROR(__xludf.DUMMYFUNCTION("""COMPUTED_VALUE"""),"Octubre")</f>
        <v>Octubre</v>
      </c>
      <c r="H57" s="41">
        <f>IFERROR(__xludf.DUMMYFUNCTION("""COMPUTED_VALUE"""),8.0)</f>
        <v>8</v>
      </c>
    </row>
    <row r="58" ht="15.75" customHeight="1">
      <c r="B58" s="41">
        <f>IFERROR(__xludf.DUMMYFUNCTION("""COMPUTED_VALUE"""),52.0)</f>
        <v>52</v>
      </c>
      <c r="C58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8" s="7" t="str">
        <f>IFERROR(__xludf.DUMMYFUNCTION("""COMPUTED_VALUE"""),"6. Entorno para desarrollo Web en Python")</f>
        <v>6. Entorno para desarrollo Web en Python</v>
      </c>
      <c r="E58" s="7" t="str">
        <f>IFERROR(__xludf.DUMMYFUNCTION("""COMPUTED_VALUE"""),"Introducción a servidores web y Flask")</f>
        <v>Introducción a servidores web y Flask</v>
      </c>
      <c r="F58" s="7" t="str">
        <f>IFERROR(__xludf.DUMMYFUNCTION("""COMPUTED_VALUE"""),"Rutas y Vistas")</f>
        <v>Rutas y Vistas</v>
      </c>
      <c r="G58" s="41" t="str">
        <f>IFERROR(__xludf.DUMMYFUNCTION("""COMPUTED_VALUE"""),"Octubre")</f>
        <v>Octubre</v>
      </c>
      <c r="H58" s="41">
        <f>IFERROR(__xludf.DUMMYFUNCTION("""COMPUTED_VALUE"""),8.0)</f>
        <v>8</v>
      </c>
    </row>
    <row r="59" ht="15.75" customHeight="1">
      <c r="B59" s="41">
        <f>IFERROR(__xludf.DUMMYFUNCTION("""COMPUTED_VALUE"""),53.0)</f>
        <v>53</v>
      </c>
      <c r="C59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9" s="7" t="str">
        <f>IFERROR(__xludf.DUMMYFUNCTION("""COMPUTED_VALUE"""),"6. Entorno para desarrollo Web en Python")</f>
        <v>6. Entorno para desarrollo Web en Python</v>
      </c>
      <c r="E59" s="7" t="str">
        <f>IFERROR(__xludf.DUMMYFUNCTION("""COMPUTED_VALUE"""),"Introducción a servidores web y Flask")</f>
        <v>Introducción a servidores web y Flask</v>
      </c>
      <c r="F59" s="7" t="str">
        <f>IFERROR(__xludf.DUMMYFUNCTION("""COMPUTED_VALUE"""),"Plantillas con Jinja")</f>
        <v>Plantillas con Jinja</v>
      </c>
      <c r="G59" s="41" t="str">
        <f>IFERROR(__xludf.DUMMYFUNCTION("""COMPUTED_VALUE"""),"Octubre")</f>
        <v>Octubre</v>
      </c>
      <c r="H59" s="41">
        <f>IFERROR(__xludf.DUMMYFUNCTION("""COMPUTED_VALUE"""),8.0)</f>
        <v>8</v>
      </c>
    </row>
    <row r="60" ht="15.75" customHeight="1">
      <c r="B60" s="41">
        <f>IFERROR(__xludf.DUMMYFUNCTION("""COMPUTED_VALUE"""),54.0)</f>
        <v>54</v>
      </c>
      <c r="C60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0" s="7" t="str">
        <f>IFERROR(__xludf.DUMMYFUNCTION("""COMPUTED_VALUE"""),"6. Entorno para desarrollo Web en Python")</f>
        <v>6. Entorno para desarrollo Web en Python</v>
      </c>
      <c r="E60" s="7" t="str">
        <f>IFERROR(__xludf.DUMMYFUNCTION("""COMPUTED_VALUE"""),"Introducción a servidores web y Flask")</f>
        <v>Introducción a servidores web y Flask</v>
      </c>
      <c r="F60" s="7" t="str">
        <f>IFERROR(__xludf.DUMMYFUNCTION("""COMPUTED_VALUE"""),"Manejo de Formularios y Datos de Usuario")</f>
        <v>Manejo de Formularios y Datos de Usuario</v>
      </c>
      <c r="G60" s="41" t="str">
        <f>IFERROR(__xludf.DUMMYFUNCTION("""COMPUTED_VALUE"""),"Octubre")</f>
        <v>Octubre</v>
      </c>
      <c r="H60" s="41">
        <f>IFERROR(__xludf.DUMMYFUNCTION("""COMPUTED_VALUE"""),8.0)</f>
        <v>8</v>
      </c>
    </row>
    <row r="61" ht="15.75" customHeight="1">
      <c r="B61" s="41">
        <f>IFERROR(__xludf.DUMMYFUNCTION("""COMPUTED_VALUE"""),55.0)</f>
        <v>55</v>
      </c>
      <c r="C61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1" s="7" t="str">
        <f>IFERROR(__xludf.DUMMYFUNCTION("""COMPUTED_VALUE"""),"6. Entorno para desarrollo Web en Python")</f>
        <v>6. Entorno para desarrollo Web en Python</v>
      </c>
      <c r="E61" s="7" t="str">
        <f>IFERROR(__xludf.DUMMYFUNCTION("""COMPUTED_VALUE"""),"Introducción a servidores web y Flask")</f>
        <v>Introducción a servidores web y Flask</v>
      </c>
      <c r="F61" s="7" t="str">
        <f>IFERROR(__xludf.DUMMYFUNCTION("""COMPUTED_VALUE"""),"Ejemplos prácticos")</f>
        <v>Ejemplos prácticos</v>
      </c>
      <c r="G61" s="41" t="str">
        <f>IFERROR(__xludf.DUMMYFUNCTION("""COMPUTED_VALUE"""),"Octubre")</f>
        <v>Octubre</v>
      </c>
      <c r="H61" s="41">
        <f>IFERROR(__xludf.DUMMYFUNCTION("""COMPUTED_VALUE"""),8.0)</f>
        <v>8</v>
      </c>
    </row>
    <row r="62" ht="15.75" customHeight="1">
      <c r="B62" s="41">
        <f>IFERROR(__xludf.DUMMYFUNCTION("""COMPUTED_VALUE"""),56.0)</f>
        <v>56</v>
      </c>
      <c r="C62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2" s="7" t="str">
        <f>IFERROR(__xludf.DUMMYFUNCTION("""COMPUTED_VALUE"""),"6. Entorno para desarrollo Web en Python")</f>
        <v>6. Entorno para desarrollo Web en Python</v>
      </c>
      <c r="E62" s="7" t="str">
        <f>IFERROR(__xludf.DUMMYFUNCTION("""COMPUTED_VALUE"""),"Instalación y Configuración en Django")</f>
        <v>Instalación y Configuración en Django</v>
      </c>
      <c r="F62" s="7" t="str">
        <f>IFERROR(__xludf.DUMMYFUNCTION("""COMPUTED_VALUE"""),"Instalación y configuracion")</f>
        <v>Instalación y configuracion</v>
      </c>
      <c r="G62" s="41" t="str">
        <f>IFERROR(__xludf.DUMMYFUNCTION("""COMPUTED_VALUE"""),"Octubre")</f>
        <v>Octubre</v>
      </c>
      <c r="H62" s="41">
        <f>IFERROR(__xludf.DUMMYFUNCTION("""COMPUTED_VALUE"""),9.0)</f>
        <v>9</v>
      </c>
    </row>
    <row r="63" ht="15.75" customHeight="1">
      <c r="B63" s="41">
        <f>IFERROR(__xludf.DUMMYFUNCTION("""COMPUTED_VALUE"""),57.0)</f>
        <v>57</v>
      </c>
      <c r="C63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3" s="7" t="str">
        <f>IFERROR(__xludf.DUMMYFUNCTION("""COMPUTED_VALUE"""),"6. Entorno para desarrollo Web en Python")</f>
        <v>6. Entorno para desarrollo Web en Python</v>
      </c>
      <c r="E63" s="7" t="str">
        <f>IFERROR(__xludf.DUMMYFUNCTION("""COMPUTED_VALUE"""),"Instalación y Configuración en Django")</f>
        <v>Instalación y Configuración en Django</v>
      </c>
      <c r="F63" s="7" t="str">
        <f>IFERROR(__xludf.DUMMYFUNCTION("""COMPUTED_VALUE"""),"Apps en Django")</f>
        <v>Apps en Django</v>
      </c>
      <c r="G63" s="41" t="str">
        <f>IFERROR(__xludf.DUMMYFUNCTION("""COMPUTED_VALUE"""),"Octubre")</f>
        <v>Octubre</v>
      </c>
      <c r="H63" s="41">
        <f>IFERROR(__xludf.DUMMYFUNCTION("""COMPUTED_VALUE"""),9.0)</f>
        <v>9</v>
      </c>
    </row>
    <row r="64" ht="15.75" customHeight="1">
      <c r="B64" s="41">
        <f>IFERROR(__xludf.DUMMYFUNCTION("""COMPUTED_VALUE"""),58.0)</f>
        <v>58</v>
      </c>
      <c r="C64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4" s="7" t="str">
        <f>IFERROR(__xludf.DUMMYFUNCTION("""COMPUTED_VALUE"""),"6. Entorno para desarrollo Web en Python")</f>
        <v>6. Entorno para desarrollo Web en Python</v>
      </c>
      <c r="E64" s="7" t="str">
        <f>IFERROR(__xludf.DUMMYFUNCTION("""COMPUTED_VALUE"""),"Instalación y Configuración en Django")</f>
        <v>Instalación y Configuración en Django</v>
      </c>
      <c r="F64" s="7" t="str">
        <f>IFERROR(__xludf.DUMMYFUNCTION("""COMPUTED_VALUE"""),"Modelos en Django")</f>
        <v>Modelos en Django</v>
      </c>
      <c r="G64" s="41" t="str">
        <f>IFERROR(__xludf.DUMMYFUNCTION("""COMPUTED_VALUE"""),"Octubre")</f>
        <v>Octubre</v>
      </c>
      <c r="H64" s="41">
        <f>IFERROR(__xludf.DUMMYFUNCTION("""COMPUTED_VALUE"""),9.0)</f>
        <v>9</v>
      </c>
    </row>
    <row r="65" ht="15.75" customHeight="1">
      <c r="B65" s="41">
        <f>IFERROR(__xludf.DUMMYFUNCTION("""COMPUTED_VALUE"""),59.0)</f>
        <v>59</v>
      </c>
      <c r="C65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5" s="7" t="str">
        <f>IFERROR(__xludf.DUMMYFUNCTION("""COMPUTED_VALUE"""),"6. Entorno para desarrollo Web en Python")</f>
        <v>6. Entorno para desarrollo Web en Python</v>
      </c>
      <c r="E65" s="7" t="str">
        <f>IFERROR(__xludf.DUMMYFUNCTION("""COMPUTED_VALUE"""),"Instalación y Configuración en Django")</f>
        <v>Instalación y Configuración en Django</v>
      </c>
      <c r="F65" s="7" t="str">
        <f>IFERROR(__xludf.DUMMYFUNCTION("""COMPUTED_VALUE"""),"Creando un módulo")</f>
        <v>Creando un módulo</v>
      </c>
      <c r="G65" s="41" t="str">
        <f>IFERROR(__xludf.DUMMYFUNCTION("""COMPUTED_VALUE"""),"Octubre")</f>
        <v>Octubre</v>
      </c>
      <c r="H65" s="41">
        <f>IFERROR(__xludf.DUMMYFUNCTION("""COMPUTED_VALUE"""),9.0)</f>
        <v>9</v>
      </c>
    </row>
    <row r="66" ht="15.75" customHeight="1">
      <c r="B66" s="41">
        <f>IFERROR(__xludf.DUMMYFUNCTION("""COMPUTED_VALUE"""),60.0)</f>
        <v>60</v>
      </c>
      <c r="C66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6" s="7" t="str">
        <f>IFERROR(__xludf.DUMMYFUNCTION("""COMPUTED_VALUE"""),"6. Entorno para desarrollo Web en Python")</f>
        <v>6. Entorno para desarrollo Web en Python</v>
      </c>
      <c r="E66" s="7" t="str">
        <f>IFERROR(__xludf.DUMMYFUNCTION("""COMPUTED_VALUE"""),"Creación de Vistas y Uso de Plantillas en Django")</f>
        <v>Creación de Vistas y Uso de Plantillas en Django</v>
      </c>
      <c r="F66" s="7" t="str">
        <f>IFERROR(__xludf.DUMMYFUNCTION("""COMPUTED_VALUE"""),"Creando Vistas")</f>
        <v>Creando Vistas</v>
      </c>
      <c r="G66" s="41" t="str">
        <f>IFERROR(__xludf.DUMMYFUNCTION("""COMPUTED_VALUE"""),"Octubre")</f>
        <v>Octubre</v>
      </c>
      <c r="H66" s="41">
        <f>IFERROR(__xludf.DUMMYFUNCTION("""COMPUTED_VALUE"""),9.0)</f>
        <v>9</v>
      </c>
    </row>
    <row r="67" ht="15.75" customHeight="1">
      <c r="B67" s="41">
        <f>IFERROR(__xludf.DUMMYFUNCTION("""COMPUTED_VALUE"""),61.0)</f>
        <v>61</v>
      </c>
      <c r="C67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7" s="7" t="str">
        <f>IFERROR(__xludf.DUMMYFUNCTION("""COMPUTED_VALUE"""),"6. Entorno para desarrollo Web en Python")</f>
        <v>6. Entorno para desarrollo Web en Python</v>
      </c>
      <c r="E67" s="7" t="str">
        <f>IFERROR(__xludf.DUMMYFUNCTION("""COMPUTED_VALUE"""),"Creación de Vistas y Uso de Plantillas en Django")</f>
        <v>Creación de Vistas y Uso de Plantillas en Django</v>
      </c>
      <c r="F67" s="7" t="str">
        <f>IFERROR(__xludf.DUMMYFUNCTION("""COMPUTED_VALUE"""),"Panel de administración de Django")</f>
        <v>Panel de administración de Django</v>
      </c>
      <c r="G67" s="41" t="str">
        <f>IFERROR(__xludf.DUMMYFUNCTION("""COMPUTED_VALUE"""),"Octubre")</f>
        <v>Octubre</v>
      </c>
      <c r="H67" s="41">
        <f>IFERROR(__xludf.DUMMYFUNCTION("""COMPUTED_VALUE"""),9.0)</f>
        <v>9</v>
      </c>
    </row>
    <row r="68" ht="15.75" customHeight="1">
      <c r="B68" s="41">
        <f>IFERROR(__xludf.DUMMYFUNCTION("""COMPUTED_VALUE"""),62.0)</f>
        <v>62</v>
      </c>
      <c r="C68" s="7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8" s="7" t="str">
        <f>IFERROR(__xludf.DUMMYFUNCTION("""COMPUTED_VALUE"""),"6. Entorno para desarrollo Web en Python")</f>
        <v>6. Entorno para desarrollo Web en Python</v>
      </c>
      <c r="E68" s="7" t="str">
        <f>IFERROR(__xludf.DUMMYFUNCTION("""COMPUTED_VALUE"""),"Creación de Vistas y Uso de Plantillas en Django")</f>
        <v>Creación de Vistas y Uso de Plantillas en Django</v>
      </c>
      <c r="F68" s="7" t="str">
        <f>IFERROR(__xludf.DUMMYFUNCTION("""COMPUTED_VALUE"""),"Templates  y archivos estátitcos en Django")</f>
        <v>Templates  y archivos estátitcos en Django</v>
      </c>
      <c r="G68" s="41" t="str">
        <f>IFERROR(__xludf.DUMMYFUNCTION("""COMPUTED_VALUE"""),"Octubre")</f>
        <v>Octubre</v>
      </c>
      <c r="H68" s="41">
        <f>IFERROR(__xludf.DUMMYFUNCTION("""COMPUTED_VALUE"""),9.0)</f>
        <v>9</v>
      </c>
    </row>
    <row r="69" ht="15.75" customHeight="1">
      <c r="B69" s="41">
        <f>IFERROR(__xludf.DUMMYFUNCTION("""COMPUTED_VALUE"""),63.0)</f>
        <v>63</v>
      </c>
      <c r="C69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69" s="7" t="str">
        <f>IFERROR(__xludf.DUMMYFUNCTION("""COMPUTED_VALUE"""),"7. JavaScript Object Notation (JSON)")</f>
        <v>7. JavaScript Object Notation (JSON)</v>
      </c>
      <c r="E69" s="7" t="str">
        <f>IFERROR(__xludf.DUMMYFUNCTION("""COMPUTED_VALUE"""),"Estructura y Manejo de Datos JSON")</f>
        <v>Estructura y Manejo de Datos JSON</v>
      </c>
      <c r="F69" s="7" t="str">
        <f>IFERROR(__xludf.DUMMYFUNCTION("""COMPUTED_VALUE"""),"Sintaxis de JSON, JSON vs XML")</f>
        <v>Sintaxis de JSON, JSON vs XML</v>
      </c>
      <c r="G69" s="41" t="str">
        <f>IFERROR(__xludf.DUMMYFUNCTION("""COMPUTED_VALUE"""),"Octubre")</f>
        <v>Octubre</v>
      </c>
      <c r="H69" s="41">
        <f>IFERROR(__xludf.DUMMYFUNCTION("""COMPUTED_VALUE"""),10.0)</f>
        <v>10</v>
      </c>
    </row>
    <row r="70" ht="15.75" customHeight="1">
      <c r="B70" s="41">
        <f>IFERROR(__xludf.DUMMYFUNCTION("""COMPUTED_VALUE"""),64.0)</f>
        <v>64</v>
      </c>
      <c r="C70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0" s="7" t="str">
        <f>IFERROR(__xludf.DUMMYFUNCTION("""COMPUTED_VALUE"""),"7. JavaScript Object Notation (JSON)")</f>
        <v>7. JavaScript Object Notation (JSON)</v>
      </c>
      <c r="E70" s="7" t="str">
        <f>IFERROR(__xludf.DUMMYFUNCTION("""COMPUTED_VALUE"""),"Estructura y Manejo de Datos JSON")</f>
        <v>Estructura y Manejo de Datos JSON</v>
      </c>
      <c r="F70" s="7" t="str">
        <f>IFERROR(__xludf.DUMMYFUNCTION("""COMPUTED_VALUE"""),"Tipos de datos JSON")</f>
        <v>Tipos de datos JSON</v>
      </c>
      <c r="G70" s="41" t="str">
        <f>IFERROR(__xludf.DUMMYFUNCTION("""COMPUTED_VALUE"""),"Octubre")</f>
        <v>Octubre</v>
      </c>
      <c r="H70" s="41">
        <f>IFERROR(__xludf.DUMMYFUNCTION("""COMPUTED_VALUE"""),10.0)</f>
        <v>10</v>
      </c>
    </row>
    <row r="71" ht="15.75" customHeight="1">
      <c r="B71" s="41">
        <f>IFERROR(__xludf.DUMMYFUNCTION("""COMPUTED_VALUE"""),65.0)</f>
        <v>65</v>
      </c>
      <c r="C71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1" s="7" t="str">
        <f>IFERROR(__xludf.DUMMYFUNCTION("""COMPUTED_VALUE"""),"7. JavaScript Object Notation (JSON)")</f>
        <v>7. JavaScript Object Notation (JSON)</v>
      </c>
      <c r="E71" s="7" t="str">
        <f>IFERROR(__xludf.DUMMYFUNCTION("""COMPUTED_VALUE"""),"Estructura y Manejo de Datos JSON")</f>
        <v>Estructura y Manejo de Datos JSON</v>
      </c>
      <c r="F71" s="7" t="str">
        <f>IFERROR(__xludf.DUMMYFUNCTION("""COMPUTED_VALUE"""),"JSON Parse, Stringify, Objects, Arrays")</f>
        <v>JSON Parse, Stringify, Objects, Arrays</v>
      </c>
      <c r="G71" s="41" t="str">
        <f>IFERROR(__xludf.DUMMYFUNCTION("""COMPUTED_VALUE"""),"Octubre")</f>
        <v>Octubre</v>
      </c>
      <c r="H71" s="41">
        <f>IFERROR(__xludf.DUMMYFUNCTION("""COMPUTED_VALUE"""),10.0)</f>
        <v>10</v>
      </c>
    </row>
    <row r="72" ht="15.75" customHeight="1">
      <c r="B72" s="41">
        <f>IFERROR(__xludf.DUMMYFUNCTION("""COMPUTED_VALUE"""),66.0)</f>
        <v>66</v>
      </c>
      <c r="C72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2" s="7" t="str">
        <f>IFERROR(__xludf.DUMMYFUNCTION("""COMPUTED_VALUE"""),"8. Acceso a datos web")</f>
        <v>8. Acceso a datos web</v>
      </c>
      <c r="E72" s="7" t="str">
        <f>IFERROR(__xludf.DUMMYFUNCTION("""COMPUTED_VALUE"""),"Acceso y Manejo de Datos Web mediante HTTP en Python")</f>
        <v>Acceso y Manejo de Datos Web mediante HTTP en Python</v>
      </c>
      <c r="F72" s="7" t="str">
        <f>IFERROR(__xludf.DUMMYFUNCTION("""COMPUTED_VALUE"""),"Internet como origen de datos")</f>
        <v>Internet como origen de datos</v>
      </c>
      <c r="G72" s="41" t="str">
        <f>IFERROR(__xludf.DUMMYFUNCTION("""COMPUTED_VALUE"""),"Octubre")</f>
        <v>Octubre</v>
      </c>
      <c r="H72" s="41">
        <f>IFERROR(__xludf.DUMMYFUNCTION("""COMPUTED_VALUE"""),10.0)</f>
        <v>10</v>
      </c>
    </row>
    <row r="73" ht="15.75" customHeight="1">
      <c r="B73" s="41">
        <f>IFERROR(__xludf.DUMMYFUNCTION("""COMPUTED_VALUE"""),67.0)</f>
        <v>67</v>
      </c>
      <c r="C73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3" s="7" t="str">
        <f>IFERROR(__xludf.DUMMYFUNCTION("""COMPUTED_VALUE"""),"8. Acceso a datos web")</f>
        <v>8. Acceso a datos web</v>
      </c>
      <c r="E73" s="7" t="str">
        <f>IFERROR(__xludf.DUMMYFUNCTION("""COMPUTED_VALUE"""),"Acceso y Manejo de Datos Web mediante HTTP en Python")</f>
        <v>Acceso y Manejo de Datos Web mediante HTTP en Python</v>
      </c>
      <c r="F73" s="7" t="str">
        <f>IFERROR(__xludf.DUMMYFUNCTION("""COMPUTED_VALUE"""),"Protocolo HTTP y Códigos de error")</f>
        <v>Protocolo HTTP y Códigos de error</v>
      </c>
      <c r="G73" s="41" t="str">
        <f>IFERROR(__xludf.DUMMYFUNCTION("""COMPUTED_VALUE"""),"Octubre")</f>
        <v>Octubre</v>
      </c>
      <c r="H73" s="41">
        <f>IFERROR(__xludf.DUMMYFUNCTION("""COMPUTED_VALUE"""),10.0)</f>
        <v>10</v>
      </c>
    </row>
    <row r="74" ht="15.75" customHeight="1">
      <c r="B74" s="41">
        <f>IFERROR(__xludf.DUMMYFUNCTION("""COMPUTED_VALUE"""),68.0)</f>
        <v>68</v>
      </c>
      <c r="C74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4" s="7" t="str">
        <f>IFERROR(__xludf.DUMMYFUNCTION("""COMPUTED_VALUE"""),"8. Acceso a datos web")</f>
        <v>8. Acceso a datos web</v>
      </c>
      <c r="E74" s="7" t="str">
        <f>IFERROR(__xludf.DUMMYFUNCTION("""COMPUTED_VALUE"""),"Acceso y Manejo de Datos Web mediante HTTP en Python")</f>
        <v>Acceso y Manejo de Datos Web mediante HTTP en Python</v>
      </c>
      <c r="F74" s="7" t="str">
        <f>IFERROR(__xludf.DUMMYFUNCTION("""COMPUTED_VALUE"""),"Peticiones HTTP en Python y librería en Python para realizar peticiones HTTP")</f>
        <v>Peticiones HTTP en Python y librería en Python para realizar peticiones HTTP</v>
      </c>
      <c r="G74" s="41" t="str">
        <f>IFERROR(__xludf.DUMMYFUNCTION("""COMPUTED_VALUE"""),"Octubre")</f>
        <v>Octubre</v>
      </c>
      <c r="H74" s="41">
        <f>IFERROR(__xludf.DUMMYFUNCTION("""COMPUTED_VALUE"""),10.0)</f>
        <v>10</v>
      </c>
    </row>
    <row r="75" ht="15.75" customHeight="1">
      <c r="B75" s="41">
        <f>IFERROR(__xludf.DUMMYFUNCTION("""COMPUTED_VALUE"""),69.0)</f>
        <v>69</v>
      </c>
      <c r="C75" s="7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5" s="7" t="str">
        <f>IFERROR(__xludf.DUMMYFUNCTION("""COMPUTED_VALUE"""),"8. Acceso a datos web")</f>
        <v>8. Acceso a datos web</v>
      </c>
      <c r="E75" s="7" t="str">
        <f>IFERROR(__xludf.DUMMYFUNCTION("""COMPUTED_VALUE"""),"Acceso y Manejo de Datos Web mediante HTTP en Python")</f>
        <v>Acceso y Manejo de Datos Web mediante HTTP en Python</v>
      </c>
      <c r="F75" s="7" t="str">
        <f>IFERROR(__xludf.DUMMYFUNCTION("""COMPUTED_VALUE"""),"Lectura de archivos binarios mediante peticiones HTTP y Análisis de XML en Peticiones")</f>
        <v>Lectura de archivos binarios mediante peticiones HTTP y Análisis de XML en Peticiones</v>
      </c>
      <c r="G75" s="41" t="str">
        <f>IFERROR(__xludf.DUMMYFUNCTION("""COMPUTED_VALUE"""),"Octubre")</f>
        <v>Octubre</v>
      </c>
      <c r="H75" s="41">
        <f>IFERROR(__xludf.DUMMYFUNCTION("""COMPUTED_VALUE"""),10.0)</f>
        <v>10</v>
      </c>
    </row>
    <row r="76" ht="15.75" customHeight="1">
      <c r="B76" s="41">
        <f>IFERROR(__xludf.DUMMYFUNCTION("""COMPUTED_VALUE"""),70.0)</f>
        <v>70</v>
      </c>
      <c r="C76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6" s="7" t="str">
        <f>IFERROR(__xludf.DUMMYFUNCTION("""COMPUTED_VALUE"""),"8. Acceso a datos web")</f>
        <v>8. Acceso a datos web</v>
      </c>
      <c r="E76" s="7" t="str">
        <f>IFERROR(__xludf.DUMMYFUNCTION("""COMPUTED_VALUE"""),"Interacción y Seguridad en APIs y Datos Web")</f>
        <v>Interacción y Seguridad en APIs y Datos Web</v>
      </c>
      <c r="F76" s="7" t="str">
        <f>IFERROR(__xludf.DUMMYFUNCTION("""COMPUTED_VALUE"""),"Desplazamiento a través de los nodos")</f>
        <v>Desplazamiento a través de los nodos</v>
      </c>
      <c r="G76" s="41" t="str">
        <f>IFERROR(__xludf.DUMMYFUNCTION("""COMPUTED_VALUE"""),"Noviembre")</f>
        <v>Noviembre</v>
      </c>
      <c r="H76" s="41">
        <f>IFERROR(__xludf.DUMMYFUNCTION("""COMPUTED_VALUE"""),11.0)</f>
        <v>11</v>
      </c>
    </row>
    <row r="77" ht="15.75" customHeight="1">
      <c r="B77" s="41">
        <f>IFERROR(__xludf.DUMMYFUNCTION("""COMPUTED_VALUE"""),71.0)</f>
        <v>71</v>
      </c>
      <c r="C77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7" s="7" t="str">
        <f>IFERROR(__xludf.DUMMYFUNCTION("""COMPUTED_VALUE"""),"8. Acceso a datos web")</f>
        <v>8. Acceso a datos web</v>
      </c>
      <c r="E77" s="7" t="str">
        <f>IFERROR(__xludf.DUMMYFUNCTION("""COMPUTED_VALUE"""),"Interacción y Seguridad en APIs y Datos Web")</f>
        <v>Interacción y Seguridad en APIs y Datos Web</v>
      </c>
      <c r="F77" s="7" t="str">
        <f>IFERROR(__xludf.DUMMYFUNCTION("""COMPUTED_VALUE"""),"Análisis JSON en Peticiones")</f>
        <v>Análisis JSON en Peticiones</v>
      </c>
      <c r="G77" s="41" t="str">
        <f>IFERROR(__xludf.DUMMYFUNCTION("""COMPUTED_VALUE"""),"Noviembre")</f>
        <v>Noviembre</v>
      </c>
      <c r="H77" s="41">
        <f>IFERROR(__xludf.DUMMYFUNCTION("""COMPUTED_VALUE"""),11.0)</f>
        <v>11</v>
      </c>
    </row>
    <row r="78" ht="15.75" customHeight="1">
      <c r="B78" s="41">
        <f>IFERROR(__xludf.DUMMYFUNCTION("""COMPUTED_VALUE"""),72.0)</f>
        <v>72</v>
      </c>
      <c r="C78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8" s="7" t="str">
        <f>IFERROR(__xludf.DUMMYFUNCTION("""COMPUTED_VALUE"""),"8. Acceso a datos web")</f>
        <v>8. Acceso a datos web</v>
      </c>
      <c r="E78" s="7" t="str">
        <f>IFERROR(__xludf.DUMMYFUNCTION("""COMPUTED_VALUE"""),"Interacción y Seguridad en APIs y Datos Web")</f>
        <v>Interacción y Seguridad en APIs y Datos Web</v>
      </c>
      <c r="F78" s="7" t="str">
        <f>IFERROR(__xludf.DUMMYFUNCTION("""COMPUTED_VALUE"""),"Interfaces de programación de aplicaciones")</f>
        <v>Interfaces de programación de aplicaciones</v>
      </c>
      <c r="G78" s="41" t="str">
        <f>IFERROR(__xludf.DUMMYFUNCTION("""COMPUTED_VALUE"""),"Noviembre")</f>
        <v>Noviembre</v>
      </c>
      <c r="H78" s="41">
        <f>IFERROR(__xludf.DUMMYFUNCTION("""COMPUTED_VALUE"""),11.0)</f>
        <v>11</v>
      </c>
    </row>
    <row r="79" ht="15.75" customHeight="1">
      <c r="B79" s="41">
        <f>IFERROR(__xludf.DUMMYFUNCTION("""COMPUTED_VALUE"""),73.0)</f>
        <v>73</v>
      </c>
      <c r="C79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9" s="7" t="str">
        <f>IFERROR(__xludf.DUMMYFUNCTION("""COMPUTED_VALUE"""),"8. Acceso a datos web")</f>
        <v>8. Acceso a datos web</v>
      </c>
      <c r="E79" s="7" t="str">
        <f>IFERROR(__xludf.DUMMYFUNCTION("""COMPUTED_VALUE"""),"Interacción y Seguridad en APIs y Datos Web")</f>
        <v>Interacción y Seguridad en APIs y Datos Web</v>
      </c>
      <c r="F79" s="7" t="str">
        <f>IFERROR(__xludf.DUMMYFUNCTION("""COMPUTED_VALUE"""),"API")</f>
        <v>API</v>
      </c>
      <c r="G79" s="41" t="str">
        <f>IFERROR(__xludf.DUMMYFUNCTION("""COMPUTED_VALUE"""),"Noviembre")</f>
        <v>Noviembre</v>
      </c>
      <c r="H79" s="41">
        <f>IFERROR(__xludf.DUMMYFUNCTION("""COMPUTED_VALUE"""),11.0)</f>
        <v>11</v>
      </c>
    </row>
    <row r="80" ht="15.75" customHeight="1">
      <c r="B80" s="41">
        <f>IFERROR(__xludf.DUMMYFUNCTION("""COMPUTED_VALUE"""),74.0)</f>
        <v>74</v>
      </c>
      <c r="C80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0" s="7" t="str">
        <f>IFERROR(__xludf.DUMMYFUNCTION("""COMPUTED_VALUE"""),"8. Acceso a datos web")</f>
        <v>8. Acceso a datos web</v>
      </c>
      <c r="E80" s="7" t="str">
        <f>IFERROR(__xludf.DUMMYFUNCTION("""COMPUTED_VALUE"""),"Interacción y Seguridad en APIs y Datos Web")</f>
        <v>Interacción y Seguridad en APIs y Datos Web</v>
      </c>
      <c r="F80" s="7" t="str">
        <f>IFERROR(__xludf.DUMMYFUNCTION("""COMPUTED_VALUE"""),"Seguridad y uso de API’s")</f>
        <v>Seguridad y uso de API’s</v>
      </c>
      <c r="G80" s="41" t="str">
        <f>IFERROR(__xludf.DUMMYFUNCTION("""COMPUTED_VALUE"""),"Noviembre")</f>
        <v>Noviembre</v>
      </c>
      <c r="H80" s="41">
        <f>IFERROR(__xludf.DUMMYFUNCTION("""COMPUTED_VALUE"""),11.0)</f>
        <v>11</v>
      </c>
    </row>
    <row r="81" ht="15.75" customHeight="1">
      <c r="B81" s="41">
        <f>IFERROR(__xludf.DUMMYFUNCTION("""COMPUTED_VALUE"""),75.0)</f>
        <v>75</v>
      </c>
      <c r="C81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1" s="7" t="str">
        <f>IFERROR(__xludf.DUMMYFUNCTION("""COMPUTED_VALUE"""),"8. Acceso a datos web")</f>
        <v>8. Acceso a datos web</v>
      </c>
      <c r="E81" s="7" t="str">
        <f>IFERROR(__xludf.DUMMYFUNCTION("""COMPUTED_VALUE"""),"Interacción y Seguridad en APIs y Datos Web")</f>
        <v>Interacción y Seguridad en APIs y Datos Web</v>
      </c>
      <c r="F81" s="7" t="str">
        <f>IFERROR(__xludf.DUMMYFUNCTION("""COMPUTED_VALUE"""),"Autenticación y autorización en API's")</f>
        <v>Autenticación y autorización en API's</v>
      </c>
      <c r="G81" s="41" t="str">
        <f>IFERROR(__xludf.DUMMYFUNCTION("""COMPUTED_VALUE"""),"Noviembre")</f>
        <v>Noviembre</v>
      </c>
      <c r="H81" s="41">
        <f>IFERROR(__xludf.DUMMYFUNCTION("""COMPUTED_VALUE"""),11.0)</f>
        <v>11</v>
      </c>
    </row>
    <row r="82" ht="15.75" customHeight="1">
      <c r="B82" s="41">
        <f>IFERROR(__xludf.DUMMYFUNCTION("""COMPUTED_VALUE"""),76.0)</f>
        <v>76</v>
      </c>
      <c r="C82" s="7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2" s="7" t="str">
        <f>IFERROR(__xludf.DUMMYFUNCTION("""COMPUTED_VALUE"""),"8. Acceso a datos web")</f>
        <v>8. Acceso a datos web</v>
      </c>
      <c r="E82" s="7" t="str">
        <f>IFERROR(__xludf.DUMMYFUNCTION("""COMPUTED_VALUE"""),"Interacción y Seguridad en APIs y Datos Web")</f>
        <v>Interacción y Seguridad en APIs y Datos Web</v>
      </c>
      <c r="F82" s="7" t="str">
        <f>IFERROR(__xludf.DUMMYFUNCTION("""COMPUTED_VALUE"""),"Manejo de respuestas asíncronas y promesas")</f>
        <v>Manejo de respuestas asíncronas y promesas</v>
      </c>
      <c r="G82" s="41" t="str">
        <f>IFERROR(__xludf.DUMMYFUNCTION("""COMPUTED_VALUE"""),"Noviembre")</f>
        <v>Noviembre</v>
      </c>
      <c r="H82" s="41">
        <f>IFERROR(__xludf.DUMMYFUNCTION("""COMPUTED_VALUE"""),11.0)</f>
        <v>11</v>
      </c>
    </row>
    <row r="83" ht="15.75" customHeight="1">
      <c r="B83" s="41"/>
      <c r="C83" s="7"/>
      <c r="D83" s="7"/>
      <c r="E83" s="7"/>
      <c r="F83" s="7"/>
      <c r="G83" s="41"/>
      <c r="H83" s="41"/>
    </row>
    <row r="84" ht="15.75" customHeight="1">
      <c r="B84" s="41"/>
      <c r="C84" s="7"/>
      <c r="D84" s="7"/>
      <c r="E84" s="7"/>
      <c r="F84" s="7"/>
      <c r="G84" s="41"/>
      <c r="H84" s="41"/>
    </row>
    <row r="85" ht="15.75" customHeight="1">
      <c r="B85" s="41"/>
      <c r="C85" s="7"/>
      <c r="D85" s="7"/>
      <c r="E85" s="7"/>
      <c r="F85" s="7"/>
      <c r="G85" s="41"/>
      <c r="H85" s="41"/>
    </row>
    <row r="86" ht="15.75" customHeight="1">
      <c r="B86" s="41"/>
      <c r="C86" s="7"/>
      <c r="D86" s="7"/>
      <c r="E86" s="7"/>
      <c r="F86" s="7"/>
      <c r="G86" s="41"/>
      <c r="H86" s="41"/>
    </row>
    <row r="87" ht="15.75" customHeight="1">
      <c r="B87" s="41"/>
      <c r="C87" s="7"/>
      <c r="D87" s="7"/>
      <c r="E87" s="7"/>
      <c r="F87" s="7"/>
      <c r="G87" s="41"/>
      <c r="H87" s="41"/>
    </row>
    <row r="88" ht="15.75" customHeight="1">
      <c r="B88" s="41"/>
      <c r="C88" s="7"/>
      <c r="D88" s="7"/>
      <c r="E88" s="7"/>
      <c r="F88" s="7"/>
      <c r="G88" s="41"/>
      <c r="H88" s="41"/>
    </row>
    <row r="89" ht="15.75" customHeight="1">
      <c r="B89" s="41"/>
      <c r="C89" s="7"/>
      <c r="D89" s="7"/>
      <c r="E89" s="7"/>
      <c r="F89" s="7"/>
      <c r="G89" s="41"/>
      <c r="H89" s="41"/>
    </row>
    <row r="90" ht="15.75" customHeight="1">
      <c r="B90" s="41"/>
      <c r="C90" s="7"/>
      <c r="D90" s="7"/>
      <c r="E90" s="7"/>
      <c r="F90" s="7"/>
      <c r="G90" s="41"/>
      <c r="H90" s="41"/>
    </row>
    <row r="91" ht="15.75" customHeight="1">
      <c r="B91" s="41"/>
      <c r="C91" s="7"/>
      <c r="D91" s="7"/>
      <c r="E91" s="7"/>
      <c r="F91" s="7"/>
      <c r="G91" s="41"/>
      <c r="H91" s="41"/>
    </row>
    <row r="92" ht="15.75" customHeight="1">
      <c r="B92" s="41"/>
      <c r="C92" s="7"/>
      <c r="D92" s="7"/>
      <c r="E92" s="7"/>
      <c r="F92" s="7"/>
      <c r="G92" s="41"/>
      <c r="H92" s="41"/>
    </row>
    <row r="93" ht="15.75" customHeight="1">
      <c r="B93" s="41"/>
      <c r="C93" s="7"/>
      <c r="D93" s="7"/>
      <c r="E93" s="7"/>
      <c r="F93" s="7"/>
      <c r="G93" s="41"/>
      <c r="H93" s="41"/>
    </row>
    <row r="94" ht="15.75" customHeight="1">
      <c r="B94" s="41"/>
      <c r="C94" s="7"/>
      <c r="D94" s="7"/>
      <c r="E94" s="7"/>
      <c r="F94" s="7"/>
      <c r="G94" s="41"/>
      <c r="H94" s="41"/>
    </row>
    <row r="95" ht="15.75" customHeight="1">
      <c r="B95" s="41"/>
      <c r="C95" s="7"/>
      <c r="D95" s="7"/>
      <c r="E95" s="7"/>
      <c r="F95" s="7"/>
      <c r="G95" s="41"/>
      <c r="H95" s="41"/>
    </row>
    <row r="96" ht="15.75" customHeight="1">
      <c r="B96" s="41"/>
      <c r="C96" s="7"/>
      <c r="D96" s="7"/>
      <c r="E96" s="7"/>
      <c r="F96" s="7"/>
      <c r="G96" s="41"/>
      <c r="H96" s="41"/>
    </row>
    <row r="97" ht="15.75" customHeight="1">
      <c r="B97" s="41"/>
      <c r="C97" s="7"/>
      <c r="D97" s="7"/>
      <c r="E97" s="7"/>
      <c r="F97" s="7"/>
      <c r="G97" s="41"/>
      <c r="H97" s="41"/>
    </row>
    <row r="98" ht="15.75" customHeight="1">
      <c r="B98" s="41"/>
      <c r="C98" s="7"/>
      <c r="D98" s="7"/>
      <c r="E98" s="7"/>
      <c r="F98" s="7"/>
      <c r="G98" s="41"/>
      <c r="H98" s="41"/>
    </row>
    <row r="99" ht="15.75" customHeight="1">
      <c r="B99" s="41"/>
      <c r="C99" s="7"/>
      <c r="D99" s="7"/>
      <c r="E99" s="7"/>
      <c r="F99" s="7"/>
      <c r="G99" s="41"/>
      <c r="H99" s="41"/>
    </row>
    <row r="100" ht="15.75" customHeight="1">
      <c r="B100" s="41"/>
      <c r="C100" s="7"/>
      <c r="D100" s="7"/>
      <c r="E100" s="7"/>
      <c r="F100" s="7"/>
      <c r="G100" s="41"/>
      <c r="H100" s="41"/>
    </row>
    <row r="101" ht="15.75" customHeight="1">
      <c r="B101" s="41"/>
      <c r="C101" s="7"/>
      <c r="D101" s="7"/>
      <c r="E101" s="7"/>
      <c r="F101" s="7"/>
      <c r="G101" s="41"/>
      <c r="H101" s="41"/>
    </row>
    <row r="102" ht="15.75" customHeight="1">
      <c r="B102" s="41"/>
      <c r="C102" s="7"/>
      <c r="D102" s="7"/>
      <c r="E102" s="7"/>
      <c r="F102" s="7"/>
      <c r="G102" s="41"/>
      <c r="H102" s="41"/>
    </row>
    <row r="103" ht="15.75" customHeight="1">
      <c r="B103" s="41"/>
      <c r="C103" s="7"/>
      <c r="D103" s="7"/>
      <c r="E103" s="7"/>
      <c r="F103" s="7"/>
      <c r="G103" s="41"/>
      <c r="H103" s="41"/>
    </row>
    <row r="104" ht="15.75" customHeight="1">
      <c r="B104" s="41"/>
      <c r="C104" s="7"/>
      <c r="D104" s="7"/>
      <c r="E104" s="7"/>
      <c r="F104" s="7"/>
      <c r="G104" s="41"/>
      <c r="H104" s="41"/>
    </row>
    <row r="105" ht="15.75" customHeight="1">
      <c r="B105" s="41"/>
      <c r="C105" s="7"/>
      <c r="D105" s="7"/>
      <c r="E105" s="7"/>
      <c r="F105" s="7"/>
      <c r="G105" s="41"/>
      <c r="H105" s="41"/>
    </row>
    <row r="106" ht="15.75" customHeight="1">
      <c r="B106" s="41"/>
      <c r="C106" s="7"/>
      <c r="D106" s="7"/>
      <c r="E106" s="7"/>
      <c r="F106" s="7"/>
      <c r="G106" s="41"/>
      <c r="H106" s="41"/>
    </row>
    <row r="107" ht="15.75" customHeight="1">
      <c r="B107" s="41"/>
      <c r="C107" s="7"/>
      <c r="D107" s="7"/>
      <c r="E107" s="7"/>
      <c r="F107" s="7"/>
      <c r="G107" s="41"/>
      <c r="H107" s="41"/>
    </row>
    <row r="108" ht="15.75" customHeight="1">
      <c r="B108" s="41"/>
      <c r="C108" s="7"/>
      <c r="D108" s="7"/>
      <c r="E108" s="7"/>
      <c r="F108" s="7"/>
      <c r="G108" s="41"/>
      <c r="H108" s="41"/>
    </row>
    <row r="109" ht="15.75" customHeight="1">
      <c r="B109" s="41"/>
      <c r="C109" s="7"/>
      <c r="D109" s="7"/>
      <c r="E109" s="7"/>
      <c r="F109" s="7"/>
      <c r="G109" s="41"/>
      <c r="H109" s="41"/>
    </row>
    <row r="110" ht="15.75" customHeight="1">
      <c r="B110" s="41"/>
      <c r="C110" s="7"/>
      <c r="D110" s="7"/>
      <c r="E110" s="7"/>
      <c r="F110" s="7"/>
      <c r="G110" s="41"/>
      <c r="H110" s="41"/>
    </row>
    <row r="111" ht="15.75" customHeight="1">
      <c r="B111" s="41"/>
      <c r="C111" s="7"/>
      <c r="D111" s="7"/>
      <c r="E111" s="7"/>
      <c r="F111" s="7"/>
      <c r="G111" s="41"/>
      <c r="H111" s="41"/>
    </row>
    <row r="112" ht="15.75" customHeight="1">
      <c r="B112" s="41"/>
      <c r="C112" s="7"/>
      <c r="D112" s="7"/>
      <c r="E112" s="7"/>
      <c r="F112" s="7"/>
      <c r="G112" s="41"/>
      <c r="H112" s="41"/>
    </row>
    <row r="113" ht="15.75" customHeight="1">
      <c r="B113" s="41"/>
      <c r="C113" s="7"/>
      <c r="D113" s="7"/>
      <c r="E113" s="7"/>
      <c r="F113" s="7"/>
      <c r="G113" s="41"/>
      <c r="H113" s="41"/>
    </row>
    <row r="114" ht="15.75" customHeight="1">
      <c r="B114" s="41"/>
      <c r="C114" s="7"/>
      <c r="D114" s="7"/>
      <c r="E114" s="7"/>
      <c r="F114" s="7"/>
      <c r="G114" s="41"/>
      <c r="H114" s="41"/>
    </row>
    <row r="115" ht="15.75" customHeight="1">
      <c r="B115" s="41"/>
      <c r="C115" s="7"/>
      <c r="D115" s="7"/>
      <c r="E115" s="7"/>
      <c r="F115" s="7"/>
      <c r="G115" s="41"/>
      <c r="H115" s="41"/>
    </row>
    <row r="116" ht="15.75" customHeight="1">
      <c r="B116" s="41"/>
      <c r="C116" s="7"/>
      <c r="D116" s="7"/>
      <c r="E116" s="7"/>
      <c r="F116" s="7"/>
      <c r="G116" s="41"/>
      <c r="H116" s="41"/>
    </row>
    <row r="117" ht="15.75" customHeight="1">
      <c r="B117" s="41"/>
      <c r="C117" s="7"/>
      <c r="D117" s="7"/>
      <c r="E117" s="7"/>
      <c r="F117" s="7"/>
      <c r="G117" s="41"/>
      <c r="H117" s="41"/>
    </row>
    <row r="118" ht="15.75" customHeight="1">
      <c r="B118" s="41"/>
      <c r="C118" s="7"/>
      <c r="D118" s="7"/>
      <c r="E118" s="7"/>
      <c r="F118" s="7"/>
      <c r="G118" s="41"/>
      <c r="H118" s="41"/>
    </row>
    <row r="119" ht="15.75" customHeight="1">
      <c r="B119" s="41"/>
      <c r="C119" s="7"/>
      <c r="D119" s="7"/>
      <c r="E119" s="7"/>
      <c r="F119" s="7"/>
      <c r="G119" s="41"/>
      <c r="H119" s="41"/>
    </row>
    <row r="120" ht="15.75" customHeight="1">
      <c r="B120" s="41"/>
      <c r="C120" s="7"/>
      <c r="D120" s="7"/>
      <c r="E120" s="7"/>
      <c r="F120" s="7"/>
      <c r="G120" s="41"/>
      <c r="H120" s="41"/>
    </row>
    <row r="121" ht="15.75" customHeight="1">
      <c r="B121" s="41"/>
      <c r="C121" s="7"/>
      <c r="D121" s="7"/>
      <c r="E121" s="7"/>
      <c r="F121" s="7"/>
      <c r="G121" s="41"/>
      <c r="H121" s="41"/>
    </row>
    <row r="122" ht="15.75" customHeight="1">
      <c r="B122" s="41"/>
      <c r="C122" s="7"/>
      <c r="D122" s="7"/>
      <c r="E122" s="7"/>
      <c r="F122" s="7"/>
      <c r="G122" s="41"/>
      <c r="H122" s="41"/>
    </row>
    <row r="123" ht="15.75" customHeight="1">
      <c r="B123" s="41"/>
      <c r="C123" s="7"/>
      <c r="D123" s="7"/>
      <c r="E123" s="7"/>
      <c r="F123" s="7"/>
      <c r="G123" s="41"/>
      <c r="H123" s="41"/>
    </row>
    <row r="124" ht="15.75" customHeight="1">
      <c r="B124" s="41"/>
      <c r="C124" s="7"/>
      <c r="D124" s="7"/>
      <c r="E124" s="7"/>
      <c r="F124" s="7"/>
      <c r="G124" s="41"/>
      <c r="H124" s="41"/>
    </row>
    <row r="125" ht="15.75" customHeight="1">
      <c r="B125" s="41"/>
      <c r="C125" s="7"/>
      <c r="D125" s="7"/>
      <c r="E125" s="7"/>
      <c r="F125" s="7"/>
      <c r="G125" s="41"/>
      <c r="H125" s="41"/>
    </row>
    <row r="126" ht="15.75" customHeight="1">
      <c r="B126" s="41"/>
      <c r="C126" s="7"/>
      <c r="D126" s="7"/>
      <c r="E126" s="7"/>
      <c r="F126" s="7"/>
      <c r="G126" s="41"/>
      <c r="H126" s="41"/>
    </row>
    <row r="127" ht="15.75" customHeight="1">
      <c r="B127" s="41"/>
      <c r="C127" s="7"/>
      <c r="D127" s="7"/>
      <c r="E127" s="7"/>
      <c r="F127" s="7"/>
      <c r="G127" s="41"/>
      <c r="H127" s="41"/>
    </row>
    <row r="128" ht="15.75" customHeight="1">
      <c r="B128" s="41"/>
      <c r="C128" s="7"/>
      <c r="D128" s="7"/>
      <c r="E128" s="7"/>
      <c r="F128" s="7"/>
      <c r="G128" s="41"/>
      <c r="H128" s="41"/>
    </row>
    <row r="129" ht="15.75" customHeight="1">
      <c r="B129" s="41"/>
      <c r="C129" s="7"/>
      <c r="D129" s="7"/>
      <c r="E129" s="7"/>
      <c r="F129" s="7"/>
      <c r="G129" s="41"/>
      <c r="H129" s="41"/>
    </row>
    <row r="130" ht="15.75" customHeight="1">
      <c r="B130" s="41"/>
      <c r="C130" s="7"/>
      <c r="D130" s="7"/>
      <c r="E130" s="7"/>
      <c r="F130" s="7"/>
      <c r="G130" s="41"/>
      <c r="H130" s="41"/>
    </row>
    <row r="131" ht="15.75" customHeight="1">
      <c r="B131" s="41"/>
      <c r="C131" s="7"/>
      <c r="D131" s="7"/>
      <c r="E131" s="7"/>
      <c r="F131" s="7"/>
      <c r="G131" s="41"/>
      <c r="H131" s="41"/>
    </row>
    <row r="132" ht="15.75" customHeight="1">
      <c r="B132" s="41"/>
      <c r="C132" s="7"/>
      <c r="D132" s="7"/>
      <c r="E132" s="7"/>
      <c r="F132" s="7"/>
      <c r="G132" s="41"/>
      <c r="H132" s="41"/>
    </row>
    <row r="133" ht="15.75" customHeight="1">
      <c r="B133" s="41"/>
      <c r="C133" s="7"/>
      <c r="D133" s="7"/>
      <c r="E133" s="7"/>
      <c r="F133" s="7"/>
      <c r="G133" s="41"/>
      <c r="H133" s="41"/>
    </row>
    <row r="134" ht="15.75" customHeight="1">
      <c r="B134" s="41"/>
      <c r="C134" s="7"/>
      <c r="D134" s="7"/>
      <c r="E134" s="7"/>
      <c r="F134" s="7"/>
      <c r="G134" s="41"/>
      <c r="H134" s="41"/>
    </row>
    <row r="135" ht="15.75" customHeight="1">
      <c r="B135" s="41"/>
      <c r="C135" s="7"/>
      <c r="D135" s="7"/>
      <c r="E135" s="7"/>
      <c r="F135" s="7"/>
      <c r="G135" s="41"/>
      <c r="H135" s="41"/>
    </row>
    <row r="136" ht="15.75" customHeight="1">
      <c r="B136" s="41"/>
      <c r="C136" s="7"/>
      <c r="D136" s="7"/>
      <c r="E136" s="7"/>
      <c r="F136" s="7"/>
      <c r="G136" s="41"/>
      <c r="H136" s="41"/>
    </row>
    <row r="137" ht="15.75" customHeight="1">
      <c r="B137" s="41"/>
      <c r="C137" s="7"/>
      <c r="D137" s="7"/>
      <c r="E137" s="7"/>
      <c r="F137" s="7"/>
      <c r="G137" s="41"/>
      <c r="H137" s="41"/>
    </row>
    <row r="138" ht="15.75" customHeight="1">
      <c r="B138" s="41"/>
      <c r="C138" s="7"/>
      <c r="D138" s="7"/>
      <c r="E138" s="7"/>
      <c r="F138" s="7"/>
      <c r="G138" s="41"/>
      <c r="H138" s="41"/>
    </row>
    <row r="139" ht="15.75" customHeight="1">
      <c r="B139" s="41"/>
      <c r="C139" s="7"/>
      <c r="D139" s="7"/>
      <c r="E139" s="7"/>
      <c r="F139" s="7"/>
      <c r="G139" s="41"/>
      <c r="H139" s="41"/>
    </row>
    <row r="140" ht="15.75" customHeight="1">
      <c r="B140" s="41"/>
      <c r="C140" s="7"/>
      <c r="D140" s="7"/>
      <c r="E140" s="7"/>
      <c r="F140" s="7"/>
      <c r="G140" s="41"/>
      <c r="H140" s="41"/>
    </row>
    <row r="141" ht="15.75" customHeight="1">
      <c r="B141" s="41"/>
      <c r="C141" s="7"/>
      <c r="D141" s="7"/>
      <c r="E141" s="7"/>
      <c r="F141" s="7"/>
      <c r="G141" s="41"/>
      <c r="H141" s="41"/>
    </row>
    <row r="142" ht="15.75" customHeight="1">
      <c r="B142" s="41"/>
      <c r="C142" s="7"/>
      <c r="D142" s="7"/>
      <c r="E142" s="7"/>
      <c r="F142" s="7"/>
      <c r="G142" s="41"/>
      <c r="H142" s="41"/>
    </row>
    <row r="143" ht="15.75" customHeight="1">
      <c r="B143" s="41"/>
      <c r="C143" s="7"/>
      <c r="D143" s="7"/>
      <c r="E143" s="7"/>
      <c r="F143" s="7"/>
      <c r="G143" s="41"/>
      <c r="H143" s="41"/>
    </row>
    <row r="144" ht="15.75" customHeight="1">
      <c r="B144" s="41"/>
      <c r="C144" s="7"/>
      <c r="D144" s="7"/>
      <c r="E144" s="7"/>
      <c r="F144" s="7"/>
      <c r="G144" s="41"/>
      <c r="H144" s="41"/>
    </row>
    <row r="145" ht="15.75" customHeight="1">
      <c r="B145" s="41"/>
      <c r="C145" s="7"/>
      <c r="D145" s="7"/>
      <c r="E145" s="7"/>
      <c r="F145" s="7"/>
      <c r="G145" s="41"/>
      <c r="H145" s="41"/>
    </row>
    <row r="146" ht="15.75" customHeight="1">
      <c r="B146" s="41"/>
      <c r="C146" s="7"/>
      <c r="D146" s="7"/>
      <c r="E146" s="7"/>
      <c r="F146" s="7"/>
      <c r="G146" s="41"/>
      <c r="H146" s="41"/>
    </row>
    <row r="147" ht="15.75" customHeight="1">
      <c r="B147" s="41"/>
      <c r="C147" s="7"/>
      <c r="D147" s="7"/>
      <c r="E147" s="7"/>
      <c r="F147" s="7"/>
      <c r="G147" s="41"/>
      <c r="H147" s="41"/>
    </row>
    <row r="148" ht="15.75" customHeight="1">
      <c r="B148" s="41"/>
      <c r="C148" s="7"/>
      <c r="D148" s="7"/>
      <c r="E148" s="7"/>
      <c r="F148" s="7"/>
      <c r="G148" s="41"/>
      <c r="H148" s="41"/>
    </row>
    <row r="149" ht="15.75" customHeight="1">
      <c r="B149" s="41"/>
      <c r="C149" s="7"/>
      <c r="D149" s="7"/>
      <c r="E149" s="7"/>
      <c r="F149" s="7"/>
      <c r="G149" s="41"/>
      <c r="H149" s="41"/>
    </row>
    <row r="150" ht="15.75" customHeight="1">
      <c r="B150" s="41"/>
      <c r="C150" s="7"/>
      <c r="D150" s="7"/>
      <c r="E150" s="7"/>
      <c r="F150" s="7"/>
      <c r="G150" s="41"/>
      <c r="H150" s="41"/>
    </row>
    <row r="151" ht="15.75" customHeight="1">
      <c r="B151" s="41"/>
      <c r="C151" s="7"/>
      <c r="D151" s="7"/>
      <c r="E151" s="7"/>
      <c r="F151" s="7"/>
      <c r="G151" s="41"/>
      <c r="H151" s="41"/>
    </row>
    <row r="152" ht="15.75" customHeight="1">
      <c r="B152" s="41"/>
      <c r="C152" s="7"/>
      <c r="D152" s="7"/>
      <c r="E152" s="7"/>
      <c r="F152" s="7"/>
      <c r="G152" s="41"/>
      <c r="H152" s="41"/>
    </row>
    <row r="153" ht="15.75" customHeight="1">
      <c r="B153" s="41"/>
      <c r="C153" s="7"/>
      <c r="D153" s="7"/>
      <c r="E153" s="7"/>
      <c r="F153" s="7"/>
      <c r="G153" s="41"/>
      <c r="H153" s="41"/>
    </row>
    <row r="154" ht="15.75" customHeight="1">
      <c r="B154" s="41"/>
      <c r="C154" s="7"/>
      <c r="D154" s="7"/>
      <c r="E154" s="7"/>
      <c r="F154" s="7"/>
      <c r="G154" s="41"/>
      <c r="H154" s="41"/>
    </row>
    <row r="155" ht="15.75" customHeight="1">
      <c r="B155" s="41"/>
      <c r="C155" s="7"/>
      <c r="D155" s="7"/>
      <c r="E155" s="7"/>
      <c r="F155" s="7"/>
      <c r="G155" s="41"/>
      <c r="H155" s="41"/>
    </row>
    <row r="156" ht="15.75" customHeight="1">
      <c r="B156" s="41"/>
      <c r="C156" s="7"/>
      <c r="D156" s="7"/>
      <c r="E156" s="7"/>
      <c r="F156" s="7"/>
      <c r="G156" s="41"/>
      <c r="H156" s="41"/>
    </row>
    <row r="157" ht="15.75" customHeight="1">
      <c r="B157" s="41"/>
      <c r="C157" s="7"/>
      <c r="D157" s="7"/>
      <c r="E157" s="7"/>
      <c r="F157" s="7"/>
      <c r="G157" s="41"/>
      <c r="H157" s="41"/>
    </row>
    <row r="158" ht="15.75" customHeight="1">
      <c r="B158" s="41"/>
      <c r="C158" s="7"/>
      <c r="D158" s="7"/>
      <c r="E158" s="7"/>
      <c r="F158" s="7"/>
      <c r="G158" s="41"/>
      <c r="H158" s="41"/>
    </row>
    <row r="159" ht="15.75" customHeight="1">
      <c r="B159" s="41"/>
      <c r="C159" s="7"/>
      <c r="D159" s="7"/>
      <c r="E159" s="7"/>
      <c r="F159" s="7"/>
      <c r="G159" s="41"/>
      <c r="H159" s="41"/>
    </row>
    <row r="160" ht="15.75" customHeight="1">
      <c r="B160" s="41"/>
      <c r="C160" s="7"/>
      <c r="D160" s="7"/>
      <c r="E160" s="7"/>
      <c r="F160" s="7"/>
      <c r="G160" s="41"/>
      <c r="H160" s="41"/>
    </row>
    <row r="161" ht="15.75" customHeight="1">
      <c r="B161" s="41"/>
      <c r="C161" s="7"/>
      <c r="D161" s="7"/>
      <c r="E161" s="7"/>
      <c r="F161" s="7"/>
      <c r="G161" s="41"/>
      <c r="H161" s="41"/>
    </row>
    <row r="162" ht="15.75" customHeight="1">
      <c r="B162" s="41"/>
      <c r="C162" s="7"/>
      <c r="D162" s="7"/>
      <c r="E162" s="7"/>
      <c r="F162" s="7"/>
      <c r="G162" s="41"/>
      <c r="H162" s="41"/>
    </row>
    <row r="163" ht="15.75" customHeight="1">
      <c r="B163" s="41"/>
      <c r="C163" s="7"/>
      <c r="D163" s="7"/>
      <c r="E163" s="7"/>
      <c r="F163" s="7"/>
      <c r="G163" s="41"/>
      <c r="H163" s="41"/>
    </row>
    <row r="164" ht="15.75" customHeight="1">
      <c r="B164" s="41"/>
      <c r="C164" s="7"/>
      <c r="D164" s="7"/>
      <c r="E164" s="7"/>
      <c r="F164" s="7"/>
      <c r="G164" s="41"/>
      <c r="H164" s="41"/>
    </row>
    <row r="165" ht="15.75" customHeight="1">
      <c r="B165" s="41"/>
      <c r="C165" s="7"/>
      <c r="D165" s="7"/>
      <c r="E165" s="7"/>
      <c r="F165" s="7"/>
      <c r="G165" s="41"/>
      <c r="H165" s="41"/>
    </row>
    <row r="166" ht="15.75" customHeight="1">
      <c r="B166" s="41"/>
      <c r="C166" s="7"/>
      <c r="D166" s="7"/>
      <c r="E166" s="7"/>
      <c r="F166" s="7"/>
      <c r="G166" s="41"/>
      <c r="H166" s="41"/>
    </row>
    <row r="167" ht="15.75" customHeight="1">
      <c r="B167" s="41"/>
      <c r="C167" s="7"/>
      <c r="D167" s="7"/>
      <c r="E167" s="7"/>
      <c r="F167" s="7"/>
      <c r="G167" s="41"/>
      <c r="H167" s="41"/>
    </row>
    <row r="168" ht="15.75" customHeight="1">
      <c r="B168" s="41"/>
      <c r="C168" s="7"/>
      <c r="D168" s="7"/>
      <c r="E168" s="7"/>
      <c r="F168" s="7"/>
      <c r="G168" s="41"/>
      <c r="H168" s="41"/>
    </row>
    <row r="169" ht="15.75" customHeight="1">
      <c r="B169" s="41"/>
      <c r="C169" s="7"/>
      <c r="D169" s="7"/>
      <c r="E169" s="7"/>
      <c r="F169" s="7"/>
      <c r="G169" s="41"/>
      <c r="H169" s="41"/>
    </row>
    <row r="170" ht="15.75" customHeight="1">
      <c r="B170" s="41"/>
      <c r="C170" s="7"/>
      <c r="D170" s="7"/>
      <c r="E170" s="7"/>
      <c r="F170" s="7"/>
      <c r="G170" s="41"/>
      <c r="H170" s="41"/>
    </row>
    <row r="171" ht="15.75" customHeight="1">
      <c r="B171" s="41"/>
      <c r="C171" s="7"/>
      <c r="D171" s="7"/>
      <c r="E171" s="7"/>
      <c r="F171" s="7"/>
      <c r="G171" s="41"/>
      <c r="H171" s="41"/>
    </row>
    <row r="172" ht="15.75" customHeight="1">
      <c r="B172" s="41"/>
      <c r="C172" s="7"/>
      <c r="D172" s="7"/>
      <c r="E172" s="7"/>
      <c r="F172" s="7"/>
      <c r="G172" s="41"/>
      <c r="H172" s="41"/>
    </row>
    <row r="173" ht="15.75" customHeight="1">
      <c r="B173" s="41"/>
      <c r="C173" s="7"/>
      <c r="D173" s="7"/>
      <c r="E173" s="7"/>
      <c r="F173" s="7"/>
      <c r="G173" s="41"/>
      <c r="H173" s="41"/>
    </row>
    <row r="174" ht="15.75" customHeight="1">
      <c r="B174" s="41"/>
      <c r="C174" s="7"/>
      <c r="D174" s="7"/>
      <c r="E174" s="7"/>
      <c r="F174" s="7"/>
      <c r="G174" s="41"/>
      <c r="H174" s="41"/>
    </row>
    <row r="175" ht="15.75" customHeight="1">
      <c r="B175" s="41"/>
      <c r="C175" s="7"/>
      <c r="D175" s="7"/>
      <c r="E175" s="7"/>
      <c r="F175" s="7"/>
      <c r="G175" s="41"/>
      <c r="H175" s="41"/>
    </row>
    <row r="176" ht="15.75" customHeight="1">
      <c r="B176" s="41"/>
      <c r="C176" s="7"/>
      <c r="D176" s="7"/>
      <c r="E176" s="7"/>
      <c r="F176" s="7"/>
      <c r="G176" s="41"/>
      <c r="H176" s="41"/>
    </row>
    <row r="177" ht="15.75" customHeight="1">
      <c r="B177" s="41"/>
      <c r="C177" s="7"/>
      <c r="D177" s="7"/>
      <c r="E177" s="7"/>
      <c r="F177" s="7"/>
      <c r="G177" s="41"/>
      <c r="H177" s="41"/>
    </row>
    <row r="178" ht="15.75" customHeight="1">
      <c r="B178" s="41"/>
      <c r="C178" s="7"/>
      <c r="D178" s="7"/>
      <c r="E178" s="7"/>
      <c r="F178" s="7"/>
      <c r="G178" s="41"/>
      <c r="H178" s="41"/>
    </row>
    <row r="179" ht="15.75" customHeight="1">
      <c r="B179" s="41"/>
      <c r="C179" s="7"/>
      <c r="D179" s="7"/>
      <c r="E179" s="7"/>
      <c r="F179" s="7"/>
      <c r="G179" s="41"/>
      <c r="H179" s="41"/>
    </row>
    <row r="180" ht="15.75" customHeight="1">
      <c r="B180" s="41"/>
      <c r="C180" s="7"/>
      <c r="D180" s="7"/>
      <c r="E180" s="7"/>
      <c r="F180" s="7"/>
      <c r="G180" s="41"/>
      <c r="H180" s="41"/>
    </row>
    <row r="181" ht="15.75" customHeight="1">
      <c r="B181" s="41"/>
      <c r="C181" s="7"/>
      <c r="D181" s="7"/>
      <c r="E181" s="7"/>
      <c r="F181" s="7"/>
      <c r="G181" s="41"/>
      <c r="H181" s="41"/>
    </row>
    <row r="182" ht="15.75" customHeight="1">
      <c r="B182" s="41"/>
      <c r="C182" s="7"/>
      <c r="D182" s="7"/>
      <c r="E182" s="7"/>
      <c r="F182" s="7"/>
      <c r="G182" s="41"/>
      <c r="H182" s="41"/>
    </row>
    <row r="183" ht="15.75" customHeight="1">
      <c r="B183" s="41"/>
      <c r="C183" s="7"/>
      <c r="D183" s="7"/>
      <c r="E183" s="7"/>
      <c r="F183" s="7"/>
      <c r="G183" s="41"/>
      <c r="H183" s="41"/>
    </row>
    <row r="184" ht="15.75" customHeight="1">
      <c r="B184" s="41"/>
      <c r="C184" s="7"/>
      <c r="D184" s="7"/>
      <c r="E184" s="7"/>
      <c r="F184" s="7"/>
      <c r="G184" s="41"/>
      <c r="H184" s="41"/>
    </row>
    <row r="185" ht="15.75" customHeight="1">
      <c r="B185" s="41"/>
      <c r="C185" s="7"/>
      <c r="D185" s="7"/>
      <c r="E185" s="7"/>
      <c r="F185" s="7"/>
      <c r="G185" s="41"/>
      <c r="H185" s="41"/>
    </row>
    <row r="186" ht="15.75" customHeight="1">
      <c r="B186" s="41"/>
      <c r="C186" s="7"/>
      <c r="D186" s="7"/>
      <c r="E186" s="7"/>
      <c r="F186" s="7"/>
      <c r="G186" s="41"/>
      <c r="H186" s="41"/>
    </row>
    <row r="187" ht="15.75" customHeight="1">
      <c r="B187" s="41"/>
      <c r="C187" s="7"/>
      <c r="D187" s="7"/>
      <c r="E187" s="7"/>
      <c r="F187" s="7"/>
      <c r="G187" s="41"/>
      <c r="H187" s="41"/>
    </row>
    <row r="188" ht="15.75" customHeight="1">
      <c r="B188" s="41"/>
      <c r="C188" s="7"/>
      <c r="D188" s="7"/>
      <c r="E188" s="7"/>
      <c r="F188" s="7"/>
      <c r="G188" s="41"/>
      <c r="H188" s="41"/>
    </row>
    <row r="189" ht="15.75" customHeight="1">
      <c r="B189" s="41"/>
      <c r="C189" s="7"/>
      <c r="D189" s="7"/>
      <c r="E189" s="7"/>
      <c r="F189" s="7"/>
      <c r="G189" s="41"/>
      <c r="H189" s="41"/>
    </row>
    <row r="190" ht="15.75" customHeight="1">
      <c r="B190" s="41"/>
      <c r="C190" s="7"/>
      <c r="D190" s="7"/>
      <c r="E190" s="7"/>
      <c r="F190" s="7"/>
      <c r="G190" s="41"/>
      <c r="H190" s="41"/>
    </row>
    <row r="191" ht="15.75" customHeight="1">
      <c r="B191" s="41"/>
      <c r="C191" s="7"/>
      <c r="D191" s="7"/>
      <c r="E191" s="7"/>
      <c r="F191" s="7"/>
      <c r="G191" s="41"/>
      <c r="H191" s="41"/>
    </row>
    <row r="192" ht="15.75" customHeight="1">
      <c r="B192" s="41"/>
      <c r="C192" s="7"/>
      <c r="D192" s="7"/>
      <c r="E192" s="7"/>
      <c r="F192" s="7"/>
      <c r="G192" s="41"/>
      <c r="H192" s="41"/>
    </row>
    <row r="193" ht="15.75" customHeight="1">
      <c r="B193" s="41"/>
      <c r="C193" s="7"/>
      <c r="D193" s="7"/>
      <c r="E193" s="7"/>
      <c r="F193" s="7"/>
      <c r="G193" s="41"/>
      <c r="H193" s="41"/>
    </row>
    <row r="194" ht="15.75" customHeight="1">
      <c r="B194" s="41"/>
      <c r="C194" s="7"/>
      <c r="D194" s="7"/>
      <c r="E194" s="7"/>
      <c r="F194" s="7"/>
      <c r="G194" s="41"/>
      <c r="H194" s="41"/>
    </row>
    <row r="195" ht="15.75" customHeight="1">
      <c r="B195" s="41"/>
      <c r="C195" s="7"/>
      <c r="D195" s="7"/>
      <c r="E195" s="7"/>
      <c r="F195" s="7"/>
      <c r="G195" s="41"/>
      <c r="H195" s="41"/>
    </row>
    <row r="196" ht="15.75" customHeight="1">
      <c r="B196" s="41"/>
      <c r="C196" s="7"/>
      <c r="D196" s="7"/>
      <c r="E196" s="7"/>
      <c r="F196" s="7"/>
      <c r="G196" s="41"/>
      <c r="H196" s="41"/>
    </row>
    <row r="197" ht="15.75" customHeight="1">
      <c r="B197" s="41"/>
      <c r="C197" s="7"/>
      <c r="D197" s="7"/>
      <c r="E197" s="7"/>
      <c r="F197" s="7"/>
      <c r="G197" s="41"/>
      <c r="H197" s="41"/>
    </row>
    <row r="198" ht="15.75" customHeight="1">
      <c r="B198" s="41"/>
      <c r="C198" s="7"/>
      <c r="D198" s="7"/>
      <c r="E198" s="7"/>
      <c r="F198" s="7"/>
      <c r="G198" s="41"/>
      <c r="H198" s="41"/>
    </row>
    <row r="199" ht="15.75" customHeight="1">
      <c r="B199" s="41"/>
      <c r="C199" s="7"/>
      <c r="D199" s="7"/>
      <c r="E199" s="7"/>
      <c r="F199" s="7"/>
      <c r="G199" s="41"/>
      <c r="H199" s="41"/>
    </row>
    <row r="200" ht="15.75" customHeight="1">
      <c r="B200" s="41"/>
      <c r="C200" s="7"/>
      <c r="D200" s="7"/>
      <c r="E200" s="7"/>
      <c r="F200" s="7"/>
      <c r="G200" s="41"/>
      <c r="H200" s="41"/>
    </row>
    <row r="201" ht="15.75" customHeight="1">
      <c r="B201" s="41"/>
      <c r="C201" s="7"/>
      <c r="D201" s="7"/>
      <c r="E201" s="7"/>
      <c r="F201" s="7"/>
      <c r="G201" s="41"/>
      <c r="H201" s="41"/>
    </row>
    <row r="202" ht="15.75" customHeight="1">
      <c r="B202" s="41"/>
      <c r="C202" s="7"/>
      <c r="D202" s="7"/>
      <c r="E202" s="7"/>
      <c r="F202" s="7"/>
      <c r="G202" s="41"/>
      <c r="H202" s="41"/>
    </row>
    <row r="203" ht="15.75" customHeight="1">
      <c r="B203" s="41"/>
      <c r="C203" s="7"/>
      <c r="D203" s="7"/>
      <c r="E203" s="7"/>
      <c r="F203" s="7"/>
      <c r="G203" s="41"/>
      <c r="H203" s="41"/>
    </row>
    <row r="204" ht="15.75" customHeight="1">
      <c r="B204" s="41"/>
      <c r="C204" s="7"/>
      <c r="D204" s="7"/>
      <c r="E204" s="7"/>
      <c r="F204" s="7"/>
      <c r="G204" s="41"/>
      <c r="H204" s="41"/>
    </row>
    <row r="205" ht="15.75" customHeight="1">
      <c r="B205" s="41"/>
      <c r="C205" s="7"/>
      <c r="D205" s="7"/>
      <c r="E205" s="7"/>
      <c r="F205" s="7"/>
      <c r="G205" s="41"/>
      <c r="H205" s="41"/>
    </row>
    <row r="206" ht="15.75" customHeight="1">
      <c r="B206" s="41"/>
      <c r="C206" s="7"/>
      <c r="D206" s="7"/>
      <c r="E206" s="7"/>
      <c r="F206" s="7"/>
      <c r="G206" s="41"/>
      <c r="H206" s="41"/>
    </row>
    <row r="207" ht="15.75" customHeight="1">
      <c r="B207" s="41"/>
      <c r="C207" s="7"/>
      <c r="D207" s="7"/>
      <c r="E207" s="7"/>
      <c r="F207" s="7"/>
      <c r="G207" s="41"/>
      <c r="H207" s="41"/>
    </row>
    <row r="208" ht="15.75" customHeight="1">
      <c r="B208" s="41"/>
      <c r="C208" s="7"/>
      <c r="D208" s="7"/>
      <c r="E208" s="7"/>
      <c r="F208" s="7"/>
      <c r="G208" s="41"/>
      <c r="H208" s="41"/>
    </row>
    <row r="209" ht="15.75" customHeight="1">
      <c r="B209" s="41"/>
      <c r="C209" s="7"/>
      <c r="D209" s="7"/>
      <c r="E209" s="7"/>
      <c r="F209" s="7"/>
      <c r="G209" s="41"/>
      <c r="H209" s="41"/>
    </row>
    <row r="210" ht="15.75" customHeight="1">
      <c r="B210" s="41"/>
      <c r="C210" s="7"/>
      <c r="D210" s="7"/>
      <c r="E210" s="7"/>
      <c r="F210" s="7"/>
      <c r="G210" s="41"/>
      <c r="H210" s="41"/>
    </row>
    <row r="211" ht="15.75" customHeight="1">
      <c r="B211" s="41"/>
      <c r="C211" s="7"/>
      <c r="D211" s="7"/>
      <c r="E211" s="7"/>
      <c r="F211" s="7"/>
      <c r="G211" s="41"/>
      <c r="H211" s="41"/>
    </row>
    <row r="212" ht="15.75" customHeight="1">
      <c r="B212" s="41"/>
      <c r="C212" s="7"/>
      <c r="D212" s="7"/>
      <c r="E212" s="7"/>
      <c r="F212" s="7"/>
      <c r="G212" s="41"/>
      <c r="H212" s="41"/>
    </row>
    <row r="213" ht="15.75" customHeight="1">
      <c r="B213" s="41"/>
      <c r="C213" s="7"/>
      <c r="D213" s="7"/>
      <c r="E213" s="7"/>
      <c r="F213" s="7"/>
      <c r="G213" s="41"/>
      <c r="H213" s="41"/>
    </row>
    <row r="214" ht="15.75" customHeight="1">
      <c r="B214" s="41"/>
      <c r="C214" s="7"/>
      <c r="D214" s="7"/>
      <c r="E214" s="7"/>
      <c r="F214" s="7"/>
      <c r="G214" s="41"/>
      <c r="H214" s="41"/>
    </row>
    <row r="215" ht="15.75" customHeight="1">
      <c r="B215" s="41"/>
      <c r="C215" s="7"/>
      <c r="D215" s="7"/>
      <c r="E215" s="7"/>
      <c r="F215" s="7"/>
      <c r="G215" s="41"/>
      <c r="H215" s="41"/>
    </row>
    <row r="216" ht="15.75" customHeight="1">
      <c r="B216" s="41"/>
      <c r="C216" s="7"/>
      <c r="D216" s="7"/>
      <c r="E216" s="7"/>
      <c r="F216" s="7"/>
      <c r="G216" s="41"/>
      <c r="H216" s="41"/>
    </row>
    <row r="217" ht="15.75" customHeight="1">
      <c r="B217" s="41"/>
      <c r="C217" s="7"/>
      <c r="D217" s="7"/>
      <c r="E217" s="7"/>
      <c r="F217" s="7"/>
      <c r="G217" s="41"/>
      <c r="H217" s="41"/>
    </row>
    <row r="218" ht="15.75" customHeight="1">
      <c r="B218" s="41"/>
      <c r="C218" s="7"/>
      <c r="D218" s="7"/>
      <c r="E218" s="7"/>
      <c r="F218" s="7"/>
      <c r="G218" s="41"/>
      <c r="H218" s="41"/>
    </row>
    <row r="219" ht="15.75" customHeight="1">
      <c r="B219" s="41"/>
      <c r="C219" s="7"/>
      <c r="D219" s="7"/>
      <c r="E219" s="7"/>
      <c r="F219" s="7"/>
      <c r="G219" s="41"/>
      <c r="H219" s="41"/>
    </row>
    <row r="220" ht="15.75" customHeight="1">
      <c r="B220" s="41"/>
      <c r="C220" s="7"/>
      <c r="D220" s="7"/>
      <c r="E220" s="7"/>
      <c r="F220" s="7"/>
      <c r="G220" s="41"/>
      <c r="H220" s="41"/>
    </row>
    <row r="221" ht="15.75" customHeight="1">
      <c r="B221" s="41"/>
      <c r="C221" s="7"/>
      <c r="D221" s="7"/>
      <c r="E221" s="7"/>
      <c r="F221" s="7"/>
      <c r="G221" s="41"/>
      <c r="H221" s="41"/>
    </row>
    <row r="222" ht="15.75" customHeight="1">
      <c r="B222" s="41"/>
      <c r="C222" s="7"/>
      <c r="D222" s="7"/>
      <c r="E222" s="7"/>
      <c r="F222" s="7"/>
      <c r="G222" s="41"/>
      <c r="H222" s="41"/>
    </row>
    <row r="223" ht="15.75" customHeight="1">
      <c r="B223" s="41"/>
      <c r="C223" s="7"/>
      <c r="D223" s="7"/>
      <c r="E223" s="7"/>
      <c r="F223" s="7"/>
      <c r="G223" s="41"/>
      <c r="H223" s="41"/>
    </row>
    <row r="224" ht="15.75" customHeight="1">
      <c r="B224" s="41"/>
      <c r="C224" s="7"/>
      <c r="D224" s="7"/>
      <c r="E224" s="7"/>
      <c r="F224" s="7"/>
      <c r="G224" s="41"/>
      <c r="H224" s="41"/>
    </row>
    <row r="225" ht="15.75" customHeight="1">
      <c r="B225" s="41"/>
      <c r="C225" s="7"/>
      <c r="D225" s="7"/>
      <c r="E225" s="7"/>
      <c r="F225" s="7"/>
      <c r="G225" s="41"/>
      <c r="H225" s="41"/>
    </row>
    <row r="226" ht="15.75" customHeight="1">
      <c r="B226" s="41"/>
      <c r="C226" s="7"/>
      <c r="D226" s="7"/>
      <c r="E226" s="7"/>
      <c r="F226" s="7"/>
      <c r="G226" s="41"/>
      <c r="H226" s="41"/>
    </row>
    <row r="227" ht="15.75" customHeight="1">
      <c r="B227" s="41"/>
      <c r="C227" s="7"/>
      <c r="D227" s="7"/>
      <c r="E227" s="7"/>
      <c r="F227" s="7"/>
      <c r="G227" s="41"/>
      <c r="H227" s="41"/>
    </row>
    <row r="228" ht="15.75" customHeight="1">
      <c r="B228" s="41"/>
      <c r="C228" s="7"/>
      <c r="D228" s="7"/>
      <c r="E228" s="7"/>
      <c r="F228" s="7"/>
      <c r="G228" s="41"/>
      <c r="H228" s="41"/>
    </row>
    <row r="229" ht="15.75" customHeight="1">
      <c r="B229" s="41"/>
      <c r="C229" s="7"/>
      <c r="D229" s="7"/>
      <c r="E229" s="7"/>
      <c r="F229" s="7"/>
      <c r="G229" s="41"/>
      <c r="H229" s="41"/>
    </row>
    <row r="230" ht="15.75" customHeight="1">
      <c r="B230" s="41"/>
      <c r="C230" s="7"/>
      <c r="D230" s="7"/>
      <c r="E230" s="7"/>
      <c r="F230" s="7"/>
      <c r="G230" s="41"/>
      <c r="H230" s="41"/>
    </row>
    <row r="231" ht="15.75" customHeight="1">
      <c r="B231" s="41"/>
      <c r="C231" s="7"/>
      <c r="D231" s="7"/>
      <c r="E231" s="7"/>
      <c r="F231" s="7"/>
      <c r="G231" s="41"/>
      <c r="H231" s="41"/>
    </row>
    <row r="232" ht="15.75" customHeight="1">
      <c r="B232" s="41"/>
      <c r="C232" s="7"/>
      <c r="D232" s="7"/>
      <c r="E232" s="7"/>
      <c r="F232" s="7"/>
      <c r="G232" s="41"/>
      <c r="H232" s="41"/>
    </row>
    <row r="233" ht="15.75" customHeight="1">
      <c r="B233" s="41"/>
      <c r="C233" s="7"/>
      <c r="D233" s="7"/>
      <c r="E233" s="7"/>
      <c r="F233" s="7"/>
      <c r="G233" s="41"/>
      <c r="H233" s="41"/>
    </row>
    <row r="234" ht="15.75" customHeight="1">
      <c r="B234" s="41"/>
      <c r="C234" s="7"/>
      <c r="D234" s="7"/>
      <c r="E234" s="7"/>
      <c r="F234" s="7"/>
      <c r="G234" s="41"/>
      <c r="H234" s="41"/>
    </row>
    <row r="235" ht="15.75" customHeight="1">
      <c r="B235" s="41"/>
      <c r="C235" s="7"/>
      <c r="D235" s="7"/>
      <c r="E235" s="7"/>
      <c r="F235" s="7"/>
      <c r="G235" s="41"/>
      <c r="H235" s="41"/>
    </row>
    <row r="236" ht="15.75" customHeight="1">
      <c r="B236" s="41"/>
      <c r="C236" s="7"/>
      <c r="D236" s="7"/>
      <c r="E236" s="7"/>
      <c r="F236" s="7"/>
      <c r="G236" s="41"/>
      <c r="H236" s="41"/>
    </row>
    <row r="237" ht="15.75" customHeight="1">
      <c r="B237" s="41"/>
      <c r="C237" s="7"/>
      <c r="D237" s="7"/>
      <c r="E237" s="7"/>
      <c r="F237" s="7"/>
      <c r="G237" s="41"/>
      <c r="H237" s="41"/>
    </row>
    <row r="238" ht="15.75" customHeight="1">
      <c r="B238" s="41"/>
      <c r="C238" s="7"/>
      <c r="D238" s="7"/>
      <c r="E238" s="7"/>
      <c r="F238" s="7"/>
      <c r="G238" s="41"/>
      <c r="H238" s="41"/>
    </row>
    <row r="239" ht="15.75" customHeight="1">
      <c r="B239" s="41"/>
      <c r="C239" s="7"/>
      <c r="D239" s="7"/>
      <c r="E239" s="7"/>
      <c r="F239" s="7"/>
      <c r="G239" s="41"/>
      <c r="H239" s="41"/>
    </row>
    <row r="240" ht="15.75" customHeight="1">
      <c r="B240" s="41"/>
      <c r="C240" s="7"/>
      <c r="D240" s="7"/>
      <c r="E240" s="7"/>
      <c r="F240" s="7"/>
      <c r="G240" s="41"/>
      <c r="H240" s="41"/>
    </row>
    <row r="241" ht="15.75" customHeight="1">
      <c r="B241" s="41"/>
      <c r="C241" s="7"/>
      <c r="D241" s="7"/>
      <c r="E241" s="7"/>
      <c r="F241" s="7"/>
      <c r="G241" s="41"/>
      <c r="H241" s="41"/>
    </row>
    <row r="242" ht="15.75" customHeight="1">
      <c r="B242" s="41"/>
      <c r="C242" s="7"/>
      <c r="D242" s="7"/>
      <c r="E242" s="7"/>
      <c r="F242" s="7"/>
      <c r="G242" s="41"/>
      <c r="H242" s="41"/>
    </row>
    <row r="243" ht="15.75" customHeight="1">
      <c r="B243" s="41"/>
      <c r="C243" s="7"/>
      <c r="D243" s="7"/>
      <c r="E243" s="7"/>
      <c r="F243" s="7"/>
      <c r="G243" s="41"/>
      <c r="H243" s="41"/>
    </row>
    <row r="244" ht="15.75" customHeight="1">
      <c r="B244" s="41"/>
      <c r="C244" s="7"/>
      <c r="D244" s="7"/>
      <c r="E244" s="7"/>
      <c r="F244" s="7"/>
      <c r="G244" s="41"/>
      <c r="H244" s="41"/>
    </row>
    <row r="245" ht="15.75" customHeight="1">
      <c r="B245" s="41"/>
      <c r="C245" s="7"/>
      <c r="D245" s="7"/>
      <c r="E245" s="7"/>
      <c r="F245" s="7"/>
      <c r="G245" s="41"/>
      <c r="H245" s="41"/>
    </row>
    <row r="246" ht="15.75" customHeight="1">
      <c r="B246" s="41"/>
      <c r="C246" s="7"/>
      <c r="D246" s="7"/>
      <c r="E246" s="7"/>
      <c r="F246" s="7"/>
      <c r="G246" s="41"/>
      <c r="H246" s="41"/>
    </row>
    <row r="247" ht="15.75" customHeight="1">
      <c r="B247" s="41"/>
      <c r="C247" s="7"/>
      <c r="D247" s="7"/>
      <c r="E247" s="7"/>
      <c r="F247" s="7"/>
      <c r="G247" s="41"/>
      <c r="H247" s="41"/>
    </row>
    <row r="248" ht="15.75" customHeight="1">
      <c r="B248" s="41"/>
      <c r="C248" s="7"/>
      <c r="D248" s="7"/>
      <c r="E248" s="7"/>
      <c r="F248" s="7"/>
      <c r="G248" s="41"/>
      <c r="H248" s="41"/>
    </row>
    <row r="249" ht="15.75" customHeight="1">
      <c r="B249" s="41"/>
      <c r="C249" s="7"/>
      <c r="D249" s="7"/>
      <c r="E249" s="7"/>
      <c r="F249" s="7"/>
      <c r="G249" s="41"/>
      <c r="H249" s="41"/>
    </row>
    <row r="250" ht="15.75" customHeight="1">
      <c r="B250" s="41"/>
      <c r="C250" s="7"/>
      <c r="D250" s="7"/>
      <c r="E250" s="7"/>
      <c r="F250" s="7"/>
      <c r="G250" s="41"/>
      <c r="H250" s="41"/>
    </row>
    <row r="251" ht="15.75" customHeight="1">
      <c r="B251" s="41"/>
      <c r="C251" s="7"/>
      <c r="D251" s="7"/>
      <c r="E251" s="7"/>
      <c r="F251" s="7"/>
      <c r="G251" s="41"/>
      <c r="H251" s="41"/>
    </row>
    <row r="252" ht="15.75" customHeight="1">
      <c r="B252" s="41"/>
      <c r="C252" s="7"/>
      <c r="D252" s="7"/>
      <c r="E252" s="7"/>
      <c r="F252" s="7"/>
      <c r="G252" s="41"/>
      <c r="H252" s="41"/>
    </row>
    <row r="253" ht="15.75" customHeight="1">
      <c r="B253" s="41"/>
      <c r="C253" s="7"/>
      <c r="D253" s="7"/>
      <c r="E253" s="7"/>
      <c r="F253" s="7"/>
      <c r="G253" s="41"/>
      <c r="H253" s="41"/>
    </row>
    <row r="254" ht="15.75" customHeight="1">
      <c r="B254" s="41"/>
      <c r="C254" s="7"/>
      <c r="D254" s="7"/>
      <c r="E254" s="7"/>
      <c r="F254" s="7"/>
      <c r="G254" s="41"/>
      <c r="H254" s="41"/>
    </row>
    <row r="255" ht="15.75" customHeight="1">
      <c r="B255" s="41"/>
      <c r="C255" s="7"/>
      <c r="D255" s="7"/>
      <c r="E255" s="7"/>
      <c r="F255" s="7"/>
      <c r="G255" s="41"/>
      <c r="H255" s="41"/>
    </row>
    <row r="256" ht="15.75" customHeight="1">
      <c r="B256" s="41"/>
      <c r="C256" s="7"/>
      <c r="D256" s="7"/>
      <c r="E256" s="7"/>
      <c r="F256" s="7"/>
      <c r="G256" s="41"/>
      <c r="H256" s="41"/>
    </row>
    <row r="257" ht="15.75" customHeight="1">
      <c r="B257" s="41"/>
      <c r="C257" s="7"/>
      <c r="D257" s="7"/>
      <c r="E257" s="7"/>
      <c r="F257" s="7"/>
      <c r="G257" s="41"/>
      <c r="H257" s="41"/>
    </row>
    <row r="258" ht="15.75" customHeight="1">
      <c r="B258" s="41"/>
      <c r="C258" s="7"/>
      <c r="D258" s="7"/>
      <c r="E258" s="7"/>
      <c r="F258" s="7"/>
      <c r="G258" s="41"/>
      <c r="H258" s="41"/>
    </row>
    <row r="259" ht="15.75" customHeight="1">
      <c r="B259" s="41"/>
      <c r="C259" s="7"/>
      <c r="D259" s="7"/>
      <c r="E259" s="7"/>
      <c r="F259" s="7"/>
      <c r="G259" s="41"/>
      <c r="H259" s="41"/>
    </row>
    <row r="260" ht="15.75" customHeight="1">
      <c r="B260" s="41"/>
      <c r="C260" s="7"/>
      <c r="D260" s="7"/>
      <c r="E260" s="7"/>
      <c r="F260" s="7"/>
      <c r="G260" s="41"/>
      <c r="H260" s="41"/>
    </row>
    <row r="261" ht="15.75" customHeight="1">
      <c r="B261" s="41"/>
      <c r="C261" s="7"/>
      <c r="D261" s="7"/>
      <c r="E261" s="7"/>
      <c r="F261" s="7"/>
      <c r="G261" s="41"/>
      <c r="H261" s="41"/>
    </row>
    <row r="262" ht="15.75" customHeight="1">
      <c r="B262" s="41"/>
      <c r="C262" s="7"/>
      <c r="D262" s="7"/>
      <c r="E262" s="7"/>
      <c r="F262" s="7"/>
      <c r="G262" s="41"/>
      <c r="H262" s="41"/>
    </row>
    <row r="263" ht="15.75" customHeight="1">
      <c r="B263" s="41"/>
      <c r="C263" s="7"/>
      <c r="D263" s="7"/>
      <c r="E263" s="7"/>
      <c r="F263" s="7"/>
      <c r="G263" s="41"/>
      <c r="H263" s="41"/>
    </row>
    <row r="264" ht="15.75" customHeight="1">
      <c r="B264" s="41"/>
      <c r="C264" s="7"/>
      <c r="D264" s="7"/>
      <c r="E264" s="7"/>
      <c r="F264" s="7"/>
      <c r="G264" s="41"/>
      <c r="H264" s="41"/>
    </row>
    <row r="265" ht="15.75" customHeight="1">
      <c r="B265" s="41"/>
      <c r="C265" s="7"/>
      <c r="D265" s="7"/>
      <c r="E265" s="7"/>
      <c r="F265" s="7"/>
      <c r="G265" s="41"/>
      <c r="H265" s="41"/>
    </row>
    <row r="266" ht="15.75" customHeight="1">
      <c r="B266" s="41"/>
      <c r="C266" s="7"/>
      <c r="D266" s="7"/>
      <c r="E266" s="7"/>
      <c r="F266" s="7"/>
      <c r="G266" s="41"/>
      <c r="H266" s="41"/>
    </row>
    <row r="267" ht="15.75" customHeight="1">
      <c r="B267" s="41"/>
      <c r="C267" s="7"/>
      <c r="D267" s="7"/>
      <c r="E267" s="7"/>
      <c r="F267" s="7"/>
      <c r="G267" s="41"/>
      <c r="H267" s="41"/>
    </row>
    <row r="268" ht="15.75" customHeight="1">
      <c r="B268" s="41"/>
      <c r="C268" s="7"/>
      <c r="D268" s="7"/>
      <c r="E268" s="7"/>
      <c r="F268" s="7"/>
      <c r="G268" s="41"/>
      <c r="H268" s="41"/>
    </row>
    <row r="269" ht="15.75" customHeight="1">
      <c r="B269" s="41"/>
      <c r="C269" s="7"/>
      <c r="D269" s="7"/>
      <c r="E269" s="7"/>
      <c r="F269" s="7"/>
      <c r="G269" s="41"/>
      <c r="H269" s="41"/>
    </row>
    <row r="270" ht="15.75" customHeight="1">
      <c r="B270" s="41"/>
      <c r="C270" s="7"/>
      <c r="D270" s="7"/>
      <c r="E270" s="7"/>
      <c r="F270" s="7"/>
      <c r="G270" s="41"/>
      <c r="H270" s="41"/>
    </row>
    <row r="271" ht="15.75" customHeight="1">
      <c r="B271" s="41"/>
      <c r="C271" s="7"/>
      <c r="D271" s="7"/>
      <c r="E271" s="7"/>
      <c r="F271" s="7"/>
      <c r="G271" s="41"/>
      <c r="H271" s="41"/>
    </row>
    <row r="272" ht="15.75" customHeight="1">
      <c r="B272" s="41"/>
      <c r="C272" s="7"/>
      <c r="D272" s="7"/>
      <c r="E272" s="7"/>
      <c r="F272" s="7"/>
      <c r="G272" s="41"/>
      <c r="H272" s="41"/>
    </row>
    <row r="273" ht="15.75" customHeight="1">
      <c r="B273" s="41"/>
      <c r="C273" s="7"/>
      <c r="D273" s="7"/>
      <c r="E273" s="7"/>
      <c r="F273" s="7"/>
      <c r="G273" s="41"/>
      <c r="H273" s="41"/>
    </row>
    <row r="274" ht="15.75" customHeight="1">
      <c r="B274" s="41"/>
      <c r="C274" s="7"/>
      <c r="D274" s="7"/>
      <c r="E274" s="7"/>
      <c r="F274" s="7"/>
      <c r="G274" s="41"/>
      <c r="H274" s="41"/>
    </row>
    <row r="275" ht="15.75" customHeight="1">
      <c r="B275" s="41"/>
      <c r="C275" s="7"/>
      <c r="D275" s="7"/>
      <c r="E275" s="7"/>
      <c r="F275" s="7"/>
      <c r="G275" s="41"/>
      <c r="H275" s="41"/>
    </row>
    <row r="276" ht="15.75" customHeight="1">
      <c r="B276" s="41"/>
      <c r="C276" s="7"/>
      <c r="D276" s="7"/>
      <c r="E276" s="7"/>
      <c r="F276" s="7"/>
      <c r="G276" s="41"/>
      <c r="H276" s="41"/>
    </row>
    <row r="277" ht="15.75" customHeight="1">
      <c r="B277" s="41"/>
      <c r="C277" s="7"/>
      <c r="D277" s="7"/>
      <c r="E277" s="7"/>
      <c r="F277" s="7"/>
      <c r="G277" s="41"/>
      <c r="H277" s="41"/>
    </row>
    <row r="278" ht="15.75" customHeight="1">
      <c r="B278" s="41"/>
      <c r="C278" s="7"/>
      <c r="D278" s="7"/>
      <c r="E278" s="7"/>
      <c r="F278" s="7"/>
      <c r="G278" s="41"/>
      <c r="H278" s="41"/>
    </row>
    <row r="279" ht="15.75" customHeight="1">
      <c r="B279" s="41"/>
      <c r="C279" s="7"/>
      <c r="D279" s="7"/>
      <c r="E279" s="7"/>
      <c r="F279" s="7"/>
      <c r="G279" s="41"/>
      <c r="H279" s="41"/>
    </row>
    <row r="280" ht="15.75" customHeight="1">
      <c r="B280" s="41"/>
      <c r="C280" s="7"/>
      <c r="D280" s="7"/>
      <c r="E280" s="7"/>
      <c r="F280" s="7"/>
      <c r="G280" s="41"/>
      <c r="H280" s="41"/>
    </row>
    <row r="281" ht="15.75" customHeight="1">
      <c r="B281" s="41"/>
      <c r="C281" s="7"/>
      <c r="D281" s="7"/>
      <c r="E281" s="7"/>
      <c r="F281" s="7"/>
      <c r="G281" s="41"/>
      <c r="H281" s="41"/>
    </row>
    <row r="282" ht="15.75" customHeight="1">
      <c r="B282" s="41"/>
      <c r="C282" s="7"/>
      <c r="D282" s="7"/>
      <c r="E282" s="7"/>
      <c r="F282" s="7"/>
      <c r="G282" s="41"/>
      <c r="H282" s="41"/>
    </row>
    <row r="283" ht="15.75" customHeight="1">
      <c r="B283" s="41"/>
      <c r="C283" s="7"/>
      <c r="D283" s="7"/>
      <c r="E283" s="7"/>
      <c r="F283" s="7"/>
      <c r="G283" s="41"/>
      <c r="H283" s="41"/>
    </row>
    <row r="284" ht="15.75" customHeight="1">
      <c r="B284" s="41"/>
      <c r="C284" s="7"/>
      <c r="D284" s="7"/>
      <c r="E284" s="7"/>
      <c r="F284" s="7"/>
      <c r="G284" s="41"/>
      <c r="H284" s="41"/>
    </row>
    <row r="285" ht="15.75" customHeight="1">
      <c r="B285" s="41"/>
      <c r="C285" s="7"/>
      <c r="D285" s="7"/>
      <c r="E285" s="7"/>
      <c r="F285" s="7"/>
      <c r="G285" s="41"/>
      <c r="H285" s="41"/>
    </row>
    <row r="286" ht="15.75" customHeight="1">
      <c r="B286" s="41"/>
      <c r="C286" s="7"/>
      <c r="D286" s="7"/>
      <c r="E286" s="7"/>
      <c r="F286" s="7"/>
      <c r="G286" s="41"/>
      <c r="H286" s="41"/>
    </row>
    <row r="287" ht="15.75" customHeight="1">
      <c r="B287" s="41"/>
      <c r="C287" s="7"/>
      <c r="D287" s="7"/>
      <c r="E287" s="7"/>
      <c r="F287" s="7"/>
      <c r="G287" s="41"/>
      <c r="H287" s="41"/>
    </row>
    <row r="288" ht="15.75" customHeight="1">
      <c r="B288" s="41"/>
      <c r="C288" s="7"/>
      <c r="D288" s="7"/>
      <c r="E288" s="7"/>
      <c r="F288" s="7"/>
      <c r="G288" s="41"/>
      <c r="H288" s="41"/>
    </row>
    <row r="289" ht="15.75" customHeight="1">
      <c r="B289" s="41"/>
      <c r="C289" s="7"/>
      <c r="D289" s="7"/>
      <c r="E289" s="7"/>
      <c r="F289" s="7"/>
      <c r="G289" s="41"/>
      <c r="H289" s="41"/>
    </row>
    <row r="290" ht="15.75" customHeight="1">
      <c r="B290" s="41"/>
      <c r="C290" s="7"/>
      <c r="D290" s="7"/>
      <c r="E290" s="7"/>
      <c r="F290" s="7"/>
      <c r="G290" s="41"/>
      <c r="H290" s="41"/>
    </row>
    <row r="291" ht="15.75" customHeight="1">
      <c r="B291" s="41"/>
      <c r="C291" s="7"/>
      <c r="D291" s="7"/>
      <c r="E291" s="7"/>
      <c r="F291" s="7"/>
      <c r="G291" s="41"/>
      <c r="H291" s="41"/>
    </row>
    <row r="292" ht="15.75" customHeight="1">
      <c r="B292" s="41"/>
      <c r="C292" s="7"/>
      <c r="D292" s="7"/>
      <c r="E292" s="7"/>
      <c r="F292" s="7"/>
      <c r="G292" s="41"/>
      <c r="H292" s="41"/>
    </row>
    <row r="293" ht="15.75" customHeight="1">
      <c r="B293" s="41"/>
      <c r="C293" s="7"/>
      <c r="D293" s="7"/>
      <c r="E293" s="7"/>
      <c r="F293" s="7"/>
      <c r="G293" s="41"/>
      <c r="H293" s="41"/>
    </row>
    <row r="294" ht="15.75" customHeight="1">
      <c r="B294" s="41"/>
      <c r="C294" s="7"/>
      <c r="D294" s="7"/>
      <c r="E294" s="7"/>
      <c r="F294" s="7"/>
      <c r="G294" s="41"/>
      <c r="H294" s="41"/>
    </row>
    <row r="295" ht="15.75" customHeight="1">
      <c r="B295" s="41"/>
      <c r="C295" s="7"/>
      <c r="D295" s="7"/>
      <c r="E295" s="7"/>
      <c r="F295" s="7"/>
      <c r="G295" s="41"/>
      <c r="H295" s="41"/>
    </row>
    <row r="296" ht="15.75" customHeight="1">
      <c r="B296" s="41"/>
      <c r="C296" s="7"/>
      <c r="D296" s="7"/>
      <c r="E296" s="7"/>
      <c r="F296" s="7"/>
      <c r="G296" s="41"/>
      <c r="H296" s="41"/>
    </row>
    <row r="297" ht="15.75" customHeight="1">
      <c r="B297" s="41"/>
      <c r="C297" s="7"/>
      <c r="D297" s="7"/>
      <c r="E297" s="7"/>
      <c r="F297" s="7"/>
      <c r="G297" s="41"/>
      <c r="H297" s="41"/>
    </row>
    <row r="298" ht="15.75" customHeight="1">
      <c r="B298" s="41"/>
      <c r="C298" s="7"/>
      <c r="D298" s="7"/>
      <c r="E298" s="7"/>
      <c r="F298" s="7"/>
      <c r="G298" s="41"/>
      <c r="H298" s="41"/>
    </row>
    <row r="299" ht="15.75" customHeight="1">
      <c r="B299" s="41"/>
      <c r="C299" s="7"/>
      <c r="D299" s="7"/>
      <c r="E299" s="7"/>
      <c r="F299" s="7"/>
      <c r="G299" s="41"/>
      <c r="H299" s="41"/>
    </row>
    <row r="300" ht="15.75" customHeight="1">
      <c r="B300" s="41"/>
      <c r="C300" s="7"/>
      <c r="D300" s="7"/>
      <c r="E300" s="7"/>
      <c r="F300" s="7"/>
      <c r="G300" s="41"/>
      <c r="H300" s="41"/>
    </row>
    <row r="301" ht="15.75" customHeight="1">
      <c r="B301" s="41"/>
      <c r="C301" s="7"/>
      <c r="D301" s="7"/>
      <c r="E301" s="7"/>
      <c r="F301" s="7"/>
      <c r="G301" s="41"/>
      <c r="H301" s="41"/>
    </row>
    <row r="302" ht="15.75" customHeight="1">
      <c r="B302" s="41"/>
      <c r="C302" s="7"/>
      <c r="D302" s="7"/>
      <c r="E302" s="7"/>
      <c r="F302" s="7"/>
      <c r="G302" s="41"/>
      <c r="H302" s="41"/>
    </row>
    <row r="303" ht="15.75" customHeight="1">
      <c r="B303" s="41"/>
      <c r="C303" s="7"/>
      <c r="D303" s="7"/>
      <c r="E303" s="7"/>
      <c r="F303" s="7"/>
      <c r="G303" s="41"/>
      <c r="H303" s="41"/>
    </row>
    <row r="304" ht="15.75" customHeight="1">
      <c r="B304" s="41"/>
      <c r="C304" s="7"/>
      <c r="D304" s="7"/>
      <c r="E304" s="7"/>
      <c r="F304" s="7"/>
      <c r="G304" s="41"/>
      <c r="H304" s="41"/>
    </row>
    <row r="305" ht="15.75" customHeight="1">
      <c r="B305" s="41"/>
      <c r="C305" s="7"/>
      <c r="D305" s="7"/>
      <c r="E305" s="7"/>
      <c r="F305" s="7"/>
      <c r="G305" s="41"/>
      <c r="H305" s="41"/>
    </row>
    <row r="306" ht="15.75" customHeight="1">
      <c r="B306" s="41"/>
      <c r="C306" s="7"/>
      <c r="D306" s="7"/>
      <c r="E306" s="7"/>
      <c r="F306" s="7"/>
      <c r="G306" s="41"/>
      <c r="H306" s="41"/>
    </row>
    <row r="307" ht="15.75" customHeight="1">
      <c r="B307" s="41"/>
      <c r="C307" s="7"/>
      <c r="D307" s="7"/>
      <c r="E307" s="7"/>
      <c r="F307" s="7"/>
      <c r="G307" s="41"/>
      <c r="H307" s="41"/>
    </row>
    <row r="308" ht="15.75" customHeight="1">
      <c r="B308" s="41"/>
      <c r="C308" s="7"/>
      <c r="D308" s="7"/>
      <c r="E308" s="7"/>
      <c r="F308" s="7"/>
      <c r="G308" s="41"/>
      <c r="H308" s="41"/>
    </row>
    <row r="309" ht="15.75" customHeight="1">
      <c r="B309" s="41"/>
      <c r="C309" s="7"/>
      <c r="D309" s="7"/>
      <c r="E309" s="7"/>
      <c r="F309" s="7"/>
      <c r="G309" s="41"/>
      <c r="H309" s="41"/>
    </row>
    <row r="310" ht="15.75" customHeight="1">
      <c r="B310" s="41"/>
      <c r="C310" s="7"/>
      <c r="D310" s="7"/>
      <c r="E310" s="7"/>
      <c r="F310" s="7"/>
      <c r="G310" s="41"/>
      <c r="H310" s="41"/>
    </row>
    <row r="311" ht="15.75" customHeight="1">
      <c r="B311" s="41"/>
      <c r="C311" s="7"/>
      <c r="D311" s="7"/>
      <c r="E311" s="7"/>
      <c r="F311" s="7"/>
      <c r="G311" s="41"/>
      <c r="H311" s="41"/>
    </row>
    <row r="312" ht="15.75" customHeight="1">
      <c r="B312" s="41"/>
      <c r="C312" s="7"/>
      <c r="D312" s="7"/>
      <c r="E312" s="7"/>
      <c r="F312" s="7"/>
      <c r="G312" s="41"/>
      <c r="H312" s="41"/>
    </row>
    <row r="313" ht="15.75" customHeight="1">
      <c r="B313" s="41"/>
      <c r="C313" s="7"/>
      <c r="D313" s="7"/>
      <c r="E313" s="7"/>
      <c r="F313" s="7"/>
      <c r="G313" s="41"/>
      <c r="H313" s="41"/>
    </row>
    <row r="314" ht="15.75" customHeight="1">
      <c r="B314" s="41"/>
      <c r="C314" s="7"/>
      <c r="D314" s="7"/>
      <c r="E314" s="7"/>
      <c r="F314" s="7"/>
      <c r="G314" s="41"/>
      <c r="H314" s="41"/>
    </row>
    <row r="315" ht="15.75" customHeight="1">
      <c r="B315" s="41"/>
      <c r="C315" s="7"/>
      <c r="D315" s="7"/>
      <c r="E315" s="7"/>
      <c r="F315" s="7"/>
      <c r="G315" s="41"/>
      <c r="H315" s="41"/>
    </row>
    <row r="316" ht="15.75" customHeight="1">
      <c r="B316" s="41"/>
      <c r="C316" s="7"/>
      <c r="D316" s="7"/>
      <c r="E316" s="7"/>
      <c r="F316" s="7"/>
      <c r="G316" s="41"/>
      <c r="H316" s="41"/>
    </row>
    <row r="317" ht="15.75" customHeight="1">
      <c r="B317" s="41"/>
      <c r="C317" s="7"/>
      <c r="D317" s="7"/>
      <c r="E317" s="7"/>
      <c r="F317" s="7"/>
      <c r="G317" s="41"/>
      <c r="H317" s="41"/>
    </row>
    <row r="318" ht="15.75" customHeight="1">
      <c r="B318" s="41"/>
      <c r="C318" s="7"/>
      <c r="D318" s="7"/>
      <c r="E318" s="7"/>
      <c r="F318" s="7"/>
      <c r="G318" s="41"/>
      <c r="H318" s="41"/>
    </row>
    <row r="319" ht="15.75" customHeight="1">
      <c r="B319" s="41"/>
      <c r="C319" s="7"/>
      <c r="D319" s="7"/>
      <c r="E319" s="7"/>
      <c r="F319" s="7"/>
      <c r="G319" s="41"/>
      <c r="H319" s="41"/>
    </row>
    <row r="320" ht="15.75" customHeight="1">
      <c r="B320" s="41"/>
      <c r="C320" s="7"/>
      <c r="D320" s="7"/>
      <c r="E320" s="7"/>
      <c r="F320" s="7"/>
      <c r="G320" s="41"/>
      <c r="H320" s="41"/>
    </row>
    <row r="321" ht="15.75" customHeight="1">
      <c r="B321" s="41"/>
      <c r="C321" s="7"/>
      <c r="D321" s="7"/>
      <c r="E321" s="7"/>
      <c r="F321" s="7"/>
      <c r="G321" s="41"/>
      <c r="H321" s="41"/>
    </row>
    <row r="322" ht="15.75" customHeight="1">
      <c r="B322" s="41"/>
      <c r="C322" s="7"/>
      <c r="D322" s="7"/>
      <c r="E322" s="7"/>
      <c r="F322" s="7"/>
      <c r="G322" s="41"/>
      <c r="H322" s="41"/>
    </row>
    <row r="323" ht="15.75" customHeight="1">
      <c r="B323" s="41"/>
      <c r="C323" s="7"/>
      <c r="D323" s="7"/>
      <c r="E323" s="7"/>
      <c r="F323" s="7"/>
      <c r="G323" s="41"/>
      <c r="H323" s="41"/>
    </row>
    <row r="324" ht="15.75" customHeight="1">
      <c r="B324" s="41"/>
      <c r="C324" s="7"/>
      <c r="D324" s="7"/>
      <c r="E324" s="7"/>
      <c r="F324" s="7"/>
      <c r="G324" s="41"/>
      <c r="H324" s="41"/>
    </row>
    <row r="325" ht="15.75" customHeight="1">
      <c r="B325" s="41"/>
      <c r="C325" s="7"/>
      <c r="D325" s="7"/>
      <c r="E325" s="7"/>
      <c r="F325" s="7"/>
      <c r="G325" s="41"/>
      <c r="H325" s="41"/>
    </row>
    <row r="326" ht="15.75" customHeight="1">
      <c r="B326" s="41"/>
      <c r="C326" s="7"/>
      <c r="D326" s="7"/>
      <c r="E326" s="7"/>
      <c r="F326" s="7"/>
      <c r="G326" s="41"/>
      <c r="H326" s="41"/>
    </row>
    <row r="327" ht="15.75" customHeight="1">
      <c r="B327" s="41"/>
      <c r="C327" s="7"/>
      <c r="D327" s="7"/>
      <c r="E327" s="7"/>
      <c r="F327" s="7"/>
      <c r="G327" s="41"/>
      <c r="H327" s="41"/>
    </row>
    <row r="328" ht="15.75" customHeight="1">
      <c r="B328" s="41"/>
      <c r="C328" s="7"/>
      <c r="D328" s="7"/>
      <c r="E328" s="7"/>
      <c r="F328" s="7"/>
      <c r="G328" s="41"/>
      <c r="H328" s="41"/>
    </row>
    <row r="329" ht="15.75" customHeight="1">
      <c r="B329" s="41"/>
      <c r="C329" s="7"/>
      <c r="D329" s="7"/>
      <c r="E329" s="7"/>
      <c r="F329" s="7"/>
      <c r="G329" s="41"/>
      <c r="H329" s="41"/>
    </row>
    <row r="330" ht="15.75" customHeight="1">
      <c r="B330" s="41"/>
      <c r="C330" s="7"/>
      <c r="D330" s="7"/>
      <c r="E330" s="7"/>
      <c r="F330" s="7"/>
      <c r="G330" s="41"/>
      <c r="H330" s="41"/>
    </row>
    <row r="331" ht="15.75" customHeight="1">
      <c r="B331" s="41"/>
      <c r="C331" s="7"/>
      <c r="D331" s="7"/>
      <c r="E331" s="7"/>
      <c r="F331" s="7"/>
      <c r="G331" s="41"/>
      <c r="H331" s="41"/>
    </row>
    <row r="332" ht="15.75" customHeight="1">
      <c r="B332" s="41"/>
      <c r="C332" s="7"/>
      <c r="D332" s="7"/>
      <c r="E332" s="7"/>
      <c r="F332" s="7"/>
      <c r="G332" s="41"/>
      <c r="H332" s="41"/>
    </row>
    <row r="333" ht="15.75" customHeight="1">
      <c r="B333" s="41"/>
      <c r="C333" s="7"/>
      <c r="D333" s="7"/>
      <c r="E333" s="7"/>
      <c r="F333" s="7"/>
      <c r="G333" s="41"/>
      <c r="H333" s="41"/>
    </row>
    <row r="334" ht="15.75" customHeight="1">
      <c r="B334" s="41"/>
      <c r="C334" s="7"/>
      <c r="D334" s="7"/>
      <c r="E334" s="7"/>
      <c r="F334" s="7"/>
      <c r="G334" s="41"/>
      <c r="H334" s="41"/>
    </row>
    <row r="335" ht="15.75" customHeight="1">
      <c r="B335" s="41"/>
      <c r="C335" s="7"/>
      <c r="D335" s="7"/>
      <c r="E335" s="7"/>
      <c r="F335" s="7"/>
      <c r="G335" s="41"/>
      <c r="H335" s="41"/>
    </row>
    <row r="336" ht="15.75" customHeight="1">
      <c r="B336" s="41"/>
      <c r="C336" s="7"/>
      <c r="D336" s="7"/>
      <c r="E336" s="7"/>
      <c r="F336" s="7"/>
      <c r="G336" s="41"/>
      <c r="H336" s="41"/>
    </row>
    <row r="337" ht="15.75" customHeight="1">
      <c r="B337" s="41"/>
      <c r="C337" s="7"/>
      <c r="D337" s="7"/>
      <c r="E337" s="7"/>
      <c r="F337" s="7"/>
      <c r="G337" s="41"/>
      <c r="H337" s="41"/>
    </row>
    <row r="338" ht="15.75" customHeight="1">
      <c r="B338" s="41"/>
      <c r="C338" s="7"/>
      <c r="D338" s="7"/>
      <c r="E338" s="7"/>
      <c r="F338" s="7"/>
      <c r="G338" s="41"/>
      <c r="H338" s="41"/>
    </row>
    <row r="339" ht="15.75" customHeight="1">
      <c r="B339" s="41"/>
      <c r="C339" s="7"/>
      <c r="D339" s="7"/>
      <c r="E339" s="7"/>
      <c r="F339" s="7"/>
      <c r="G339" s="41"/>
      <c r="H339" s="41"/>
    </row>
    <row r="340" ht="15.75" customHeight="1">
      <c r="B340" s="41"/>
      <c r="C340" s="7"/>
      <c r="D340" s="7"/>
      <c r="E340" s="7"/>
      <c r="F340" s="7"/>
      <c r="G340" s="41"/>
      <c r="H340" s="41"/>
    </row>
    <row r="341" ht="15.75" customHeight="1">
      <c r="B341" s="41"/>
      <c r="C341" s="7"/>
      <c r="D341" s="7"/>
      <c r="E341" s="7"/>
      <c r="F341" s="7"/>
      <c r="G341" s="41"/>
      <c r="H341" s="41"/>
    </row>
    <row r="342" ht="15.75" customHeight="1">
      <c r="B342" s="41"/>
      <c r="C342" s="7"/>
      <c r="D342" s="7"/>
      <c r="E342" s="7"/>
      <c r="F342" s="7"/>
      <c r="G342" s="41"/>
      <c r="H342" s="41"/>
    </row>
    <row r="343" ht="15.75" customHeight="1">
      <c r="B343" s="41"/>
      <c r="C343" s="7"/>
      <c r="D343" s="7"/>
      <c r="E343" s="7"/>
      <c r="F343" s="7"/>
      <c r="G343" s="41"/>
      <c r="H343" s="41"/>
    </row>
    <row r="344" ht="15.75" customHeight="1">
      <c r="B344" s="41"/>
      <c r="C344" s="7"/>
      <c r="D344" s="7"/>
      <c r="E344" s="7"/>
      <c r="F344" s="7"/>
      <c r="G344" s="41"/>
      <c r="H344" s="41"/>
    </row>
    <row r="345" ht="15.75" customHeight="1">
      <c r="B345" s="41"/>
      <c r="C345" s="7"/>
      <c r="D345" s="7"/>
      <c r="E345" s="7"/>
      <c r="F345" s="7"/>
      <c r="G345" s="41"/>
      <c r="H345" s="41"/>
    </row>
    <row r="346" ht="15.75" customHeight="1">
      <c r="B346" s="41"/>
      <c r="C346" s="7"/>
      <c r="D346" s="7"/>
      <c r="E346" s="7"/>
      <c r="F346" s="7"/>
      <c r="G346" s="41"/>
      <c r="H346" s="41"/>
    </row>
    <row r="347" ht="15.75" customHeight="1">
      <c r="B347" s="41"/>
      <c r="C347" s="7"/>
      <c r="D347" s="7"/>
      <c r="E347" s="7"/>
      <c r="F347" s="7"/>
      <c r="G347" s="41"/>
      <c r="H347" s="41"/>
    </row>
    <row r="348" ht="15.75" customHeight="1">
      <c r="B348" s="41"/>
      <c r="C348" s="7"/>
      <c r="D348" s="7"/>
      <c r="E348" s="7"/>
      <c r="F348" s="7"/>
      <c r="G348" s="41"/>
      <c r="H348" s="41"/>
    </row>
    <row r="349" ht="15.75" customHeight="1">
      <c r="B349" s="41"/>
      <c r="C349" s="7"/>
      <c r="D349" s="7"/>
      <c r="E349" s="7"/>
      <c r="F349" s="7"/>
      <c r="G349" s="41"/>
      <c r="H349" s="41"/>
    </row>
    <row r="350" ht="15.75" customHeight="1">
      <c r="B350" s="41"/>
      <c r="C350" s="7"/>
      <c r="D350" s="7"/>
      <c r="E350" s="7"/>
      <c r="F350" s="7"/>
      <c r="G350" s="41"/>
      <c r="H350" s="41"/>
    </row>
    <row r="351" ht="15.75" customHeight="1">
      <c r="B351" s="41"/>
      <c r="C351" s="7"/>
      <c r="D351" s="7"/>
      <c r="E351" s="7"/>
      <c r="F351" s="7"/>
      <c r="G351" s="41"/>
      <c r="H351" s="41"/>
    </row>
    <row r="352" ht="15.75" customHeight="1">
      <c r="B352" s="41"/>
      <c r="C352" s="7"/>
      <c r="D352" s="7"/>
      <c r="E352" s="7"/>
      <c r="F352" s="7"/>
      <c r="G352" s="41"/>
      <c r="H352" s="41"/>
    </row>
    <row r="353" ht="15.75" customHeight="1">
      <c r="B353" s="41"/>
      <c r="C353" s="7"/>
      <c r="D353" s="7"/>
      <c r="E353" s="7"/>
      <c r="F353" s="7"/>
      <c r="G353" s="41"/>
      <c r="H353" s="41"/>
    </row>
    <row r="354" ht="15.75" customHeight="1">
      <c r="B354" s="41"/>
      <c r="C354" s="7"/>
      <c r="D354" s="7"/>
      <c r="E354" s="7"/>
      <c r="F354" s="7"/>
      <c r="G354" s="41"/>
      <c r="H354" s="41"/>
    </row>
    <row r="355" ht="15.75" customHeight="1">
      <c r="B355" s="41"/>
      <c r="C355" s="7"/>
      <c r="D355" s="7"/>
      <c r="E355" s="7"/>
      <c r="F355" s="7"/>
      <c r="G355" s="41"/>
      <c r="H355" s="41"/>
    </row>
    <row r="356" ht="15.75" customHeight="1">
      <c r="B356" s="41"/>
      <c r="C356" s="7"/>
      <c r="D356" s="7"/>
      <c r="E356" s="7"/>
      <c r="F356" s="7"/>
      <c r="G356" s="41"/>
      <c r="H356" s="41"/>
    </row>
    <row r="357" ht="15.75" customHeight="1">
      <c r="B357" s="41"/>
      <c r="C357" s="7"/>
      <c r="D357" s="7"/>
      <c r="E357" s="7"/>
      <c r="F357" s="7"/>
      <c r="G357" s="41"/>
      <c r="H357" s="41"/>
    </row>
    <row r="358" ht="15.75" customHeight="1">
      <c r="B358" s="41"/>
      <c r="C358" s="7"/>
      <c r="D358" s="7"/>
      <c r="E358" s="7"/>
      <c r="F358" s="7"/>
      <c r="G358" s="41"/>
      <c r="H358" s="41"/>
    </row>
    <row r="359" ht="15.75" customHeight="1">
      <c r="B359" s="41"/>
      <c r="C359" s="7"/>
      <c r="D359" s="7"/>
      <c r="E359" s="7"/>
      <c r="F359" s="7"/>
      <c r="G359" s="41"/>
      <c r="H359" s="41"/>
    </row>
    <row r="360" ht="15.75" customHeight="1">
      <c r="B360" s="41"/>
      <c r="C360" s="7"/>
      <c r="D360" s="7"/>
      <c r="E360" s="7"/>
      <c r="F360" s="7"/>
      <c r="G360" s="41"/>
      <c r="H360" s="41"/>
    </row>
    <row r="361" ht="15.75" customHeight="1">
      <c r="B361" s="41"/>
      <c r="C361" s="7"/>
      <c r="D361" s="7"/>
      <c r="E361" s="7"/>
      <c r="F361" s="7"/>
      <c r="G361" s="41"/>
      <c r="H361" s="41"/>
    </row>
    <row r="362" ht="15.75" customHeight="1">
      <c r="B362" s="41"/>
      <c r="C362" s="7"/>
      <c r="D362" s="7"/>
      <c r="E362" s="7"/>
      <c r="F362" s="7"/>
      <c r="G362" s="41"/>
      <c r="H362" s="41"/>
    </row>
    <row r="363" ht="15.75" customHeight="1">
      <c r="B363" s="41"/>
      <c r="C363" s="7"/>
      <c r="D363" s="7"/>
      <c r="E363" s="7"/>
      <c r="F363" s="7"/>
      <c r="G363" s="41"/>
      <c r="H363" s="41"/>
    </row>
    <row r="364" ht="15.75" customHeight="1">
      <c r="B364" s="41"/>
      <c r="C364" s="7"/>
      <c r="D364" s="7"/>
      <c r="E364" s="7"/>
      <c r="F364" s="7"/>
      <c r="G364" s="41"/>
      <c r="H364" s="41"/>
    </row>
    <row r="365" ht="15.75" customHeight="1">
      <c r="B365" s="41"/>
      <c r="C365" s="7"/>
      <c r="D365" s="7"/>
      <c r="E365" s="7"/>
      <c r="F365" s="7"/>
      <c r="G365" s="41"/>
      <c r="H365" s="41"/>
    </row>
    <row r="366" ht="15.75" customHeight="1">
      <c r="B366" s="41"/>
      <c r="C366" s="7"/>
      <c r="D366" s="7"/>
      <c r="E366" s="7"/>
      <c r="F366" s="7"/>
      <c r="G366" s="41"/>
      <c r="H366" s="41"/>
    </row>
    <row r="367" ht="15.75" customHeight="1">
      <c r="B367" s="41"/>
      <c r="C367" s="7"/>
      <c r="D367" s="7"/>
      <c r="E367" s="7"/>
      <c r="F367" s="7"/>
      <c r="G367" s="41"/>
      <c r="H367" s="41"/>
    </row>
    <row r="368" ht="15.75" customHeight="1">
      <c r="B368" s="41"/>
      <c r="C368" s="7"/>
      <c r="D368" s="7"/>
      <c r="E368" s="7"/>
      <c r="F368" s="7"/>
      <c r="G368" s="41"/>
      <c r="H368" s="41"/>
    </row>
    <row r="369" ht="15.75" customHeight="1">
      <c r="B369" s="41"/>
      <c r="C369" s="7"/>
      <c r="D369" s="7"/>
      <c r="E369" s="7"/>
      <c r="F369" s="7"/>
      <c r="G369" s="41"/>
      <c r="H369" s="41"/>
    </row>
    <row r="370" ht="15.75" customHeight="1">
      <c r="B370" s="41"/>
      <c r="C370" s="7"/>
      <c r="D370" s="7"/>
      <c r="E370" s="7"/>
      <c r="F370" s="7"/>
      <c r="G370" s="41"/>
      <c r="H370" s="41"/>
    </row>
    <row r="371" ht="15.75" customHeight="1">
      <c r="B371" s="41"/>
      <c r="C371" s="7"/>
      <c r="D371" s="7"/>
      <c r="E371" s="7"/>
      <c r="F371" s="7"/>
      <c r="G371" s="41"/>
      <c r="H371" s="41"/>
    </row>
    <row r="372" ht="15.75" customHeight="1">
      <c r="B372" s="41"/>
      <c r="C372" s="7"/>
      <c r="D372" s="7"/>
      <c r="E372" s="7"/>
      <c r="F372" s="7"/>
      <c r="G372" s="41"/>
      <c r="H372" s="41"/>
    </row>
    <row r="373" ht="15.75" customHeight="1">
      <c r="B373" s="41"/>
      <c r="C373" s="7"/>
      <c r="D373" s="7"/>
      <c r="E373" s="7"/>
      <c r="F373" s="7"/>
      <c r="G373" s="41"/>
      <c r="H373" s="41"/>
    </row>
    <row r="374" ht="15.75" customHeight="1">
      <c r="B374" s="41"/>
      <c r="C374" s="7"/>
      <c r="D374" s="7"/>
      <c r="E374" s="7"/>
      <c r="F374" s="7"/>
      <c r="G374" s="41"/>
      <c r="H374" s="41"/>
    </row>
    <row r="375" ht="15.75" customHeight="1">
      <c r="B375" s="41"/>
      <c r="C375" s="7"/>
      <c r="D375" s="7"/>
      <c r="E375" s="7"/>
      <c r="F375" s="7"/>
      <c r="G375" s="41"/>
      <c r="H375" s="41"/>
    </row>
    <row r="376" ht="15.75" customHeight="1">
      <c r="B376" s="41"/>
      <c r="C376" s="7"/>
      <c r="D376" s="7"/>
      <c r="E376" s="7"/>
      <c r="F376" s="7"/>
      <c r="G376" s="41"/>
      <c r="H376" s="41"/>
    </row>
    <row r="377" ht="15.75" customHeight="1">
      <c r="B377" s="41"/>
      <c r="C377" s="7"/>
      <c r="D377" s="7"/>
      <c r="E377" s="7"/>
      <c r="F377" s="7"/>
      <c r="G377" s="41"/>
      <c r="H377" s="41"/>
    </row>
    <row r="378" ht="15.75" customHeight="1">
      <c r="B378" s="41"/>
      <c r="C378" s="7"/>
      <c r="D378" s="7"/>
      <c r="E378" s="7"/>
      <c r="F378" s="7"/>
      <c r="G378" s="41"/>
      <c r="H378" s="41"/>
    </row>
    <row r="379" ht="15.75" customHeight="1">
      <c r="B379" s="41"/>
      <c r="C379" s="7"/>
      <c r="D379" s="7"/>
      <c r="E379" s="7"/>
      <c r="F379" s="7"/>
      <c r="G379" s="41"/>
      <c r="H379" s="41"/>
    </row>
    <row r="380" ht="15.75" customHeight="1">
      <c r="B380" s="41"/>
      <c r="C380" s="7"/>
      <c r="D380" s="7"/>
      <c r="E380" s="7"/>
      <c r="F380" s="7"/>
      <c r="G380" s="41"/>
      <c r="H380" s="41"/>
    </row>
    <row r="381" ht="15.75" customHeight="1">
      <c r="B381" s="41"/>
      <c r="C381" s="7"/>
      <c r="D381" s="7"/>
      <c r="E381" s="7"/>
      <c r="F381" s="7"/>
      <c r="G381" s="41"/>
      <c r="H381" s="41"/>
    </row>
    <row r="382" ht="15.75" customHeight="1">
      <c r="B382" s="41"/>
      <c r="C382" s="7"/>
      <c r="D382" s="7"/>
      <c r="E382" s="7"/>
      <c r="F382" s="7"/>
      <c r="G382" s="41"/>
      <c r="H382" s="41"/>
    </row>
    <row r="383" ht="15.75" customHeight="1">
      <c r="B383" s="41"/>
      <c r="C383" s="7"/>
      <c r="D383" s="7"/>
      <c r="E383" s="7"/>
      <c r="F383" s="7"/>
      <c r="G383" s="41"/>
      <c r="H383" s="41"/>
    </row>
    <row r="384" ht="15.75" customHeight="1">
      <c r="B384" s="41"/>
      <c r="C384" s="7"/>
      <c r="D384" s="7"/>
      <c r="E384" s="7"/>
      <c r="F384" s="7"/>
      <c r="G384" s="41"/>
      <c r="H384" s="41"/>
    </row>
    <row r="385" ht="15.75" customHeight="1">
      <c r="B385" s="41"/>
      <c r="C385" s="7"/>
      <c r="D385" s="7"/>
      <c r="E385" s="7"/>
      <c r="F385" s="7"/>
      <c r="G385" s="41"/>
      <c r="H385" s="41"/>
    </row>
    <row r="386" ht="15.75" customHeight="1">
      <c r="B386" s="41"/>
      <c r="C386" s="7"/>
      <c r="D386" s="7"/>
      <c r="E386" s="7"/>
      <c r="F386" s="7"/>
      <c r="G386" s="41"/>
      <c r="H386" s="41"/>
    </row>
    <row r="387" ht="15.75" customHeight="1">
      <c r="B387" s="41"/>
      <c r="C387" s="7"/>
      <c r="D387" s="7"/>
      <c r="E387" s="7"/>
      <c r="F387" s="7"/>
      <c r="G387" s="41"/>
      <c r="H387" s="41"/>
    </row>
    <row r="388" ht="15.75" customHeight="1">
      <c r="B388" s="41"/>
      <c r="C388" s="7"/>
      <c r="D388" s="7"/>
      <c r="E388" s="7"/>
      <c r="F388" s="7"/>
      <c r="G388" s="41"/>
      <c r="H388" s="41"/>
    </row>
    <row r="389" ht="15.75" customHeight="1">
      <c r="B389" s="41"/>
      <c r="C389" s="7"/>
      <c r="D389" s="7"/>
      <c r="E389" s="7"/>
      <c r="F389" s="7"/>
      <c r="G389" s="41"/>
      <c r="H389" s="41"/>
    </row>
    <row r="390" ht="15.75" customHeight="1">
      <c r="B390" s="41"/>
      <c r="C390" s="7"/>
      <c r="D390" s="7"/>
      <c r="E390" s="7"/>
      <c r="F390" s="7"/>
      <c r="G390" s="41"/>
      <c r="H390" s="41"/>
    </row>
    <row r="391" ht="15.75" customHeight="1">
      <c r="B391" s="41"/>
      <c r="C391" s="7"/>
      <c r="D391" s="7"/>
      <c r="E391" s="7"/>
      <c r="F391" s="7"/>
      <c r="G391" s="41"/>
      <c r="H391" s="41"/>
    </row>
    <row r="392" ht="15.75" customHeight="1">
      <c r="B392" s="41"/>
      <c r="C392" s="7"/>
      <c r="D392" s="7"/>
      <c r="E392" s="7"/>
      <c r="F392" s="7"/>
      <c r="G392" s="41"/>
      <c r="H392" s="41"/>
    </row>
    <row r="393" ht="15.75" customHeight="1">
      <c r="B393" s="41"/>
      <c r="C393" s="7"/>
      <c r="D393" s="7"/>
      <c r="E393" s="7"/>
      <c r="F393" s="7"/>
      <c r="G393" s="41"/>
      <c r="H393" s="41"/>
    </row>
    <row r="394" ht="15.75" customHeight="1">
      <c r="B394" s="41"/>
      <c r="C394" s="7"/>
      <c r="D394" s="7"/>
      <c r="E394" s="7"/>
      <c r="F394" s="7"/>
      <c r="G394" s="41"/>
      <c r="H394" s="41"/>
    </row>
    <row r="395" ht="15.75" customHeight="1">
      <c r="B395" s="41"/>
      <c r="C395" s="7"/>
      <c r="D395" s="7"/>
      <c r="E395" s="7"/>
      <c r="F395" s="7"/>
      <c r="G395" s="41"/>
      <c r="H395" s="41"/>
    </row>
    <row r="396" ht="15.75" customHeight="1">
      <c r="B396" s="41"/>
      <c r="C396" s="7"/>
      <c r="D396" s="7"/>
      <c r="E396" s="7"/>
      <c r="F396" s="7"/>
      <c r="G396" s="41"/>
      <c r="H396" s="41"/>
    </row>
    <row r="397" ht="15.75" customHeight="1">
      <c r="B397" s="41"/>
      <c r="C397" s="7"/>
      <c r="D397" s="7"/>
      <c r="E397" s="7"/>
      <c r="F397" s="7"/>
      <c r="G397" s="41"/>
      <c r="H397" s="41"/>
    </row>
    <row r="398" ht="15.75" customHeight="1">
      <c r="B398" s="41"/>
      <c r="C398" s="7"/>
      <c r="D398" s="7"/>
      <c r="E398" s="7"/>
      <c r="F398" s="7"/>
      <c r="G398" s="41"/>
      <c r="H398" s="41"/>
    </row>
    <row r="399" ht="15.75" customHeight="1">
      <c r="B399" s="41"/>
      <c r="C399" s="7"/>
      <c r="D399" s="7"/>
      <c r="E399" s="7"/>
      <c r="F399" s="7"/>
      <c r="G399" s="41"/>
      <c r="H399" s="41"/>
    </row>
    <row r="400" ht="15.75" customHeight="1">
      <c r="B400" s="41"/>
      <c r="C400" s="7"/>
      <c r="D400" s="7"/>
      <c r="E400" s="7"/>
      <c r="F400" s="7"/>
      <c r="G400" s="41"/>
      <c r="H400" s="41"/>
    </row>
    <row r="401" ht="15.75" customHeight="1">
      <c r="B401" s="41"/>
      <c r="C401" s="7"/>
      <c r="D401" s="7"/>
      <c r="E401" s="7"/>
      <c r="F401" s="7"/>
      <c r="G401" s="41"/>
      <c r="H401" s="41"/>
    </row>
    <row r="402" ht="15.75" customHeight="1">
      <c r="B402" s="41"/>
      <c r="C402" s="7"/>
      <c r="D402" s="7"/>
      <c r="E402" s="7"/>
      <c r="F402" s="7"/>
      <c r="G402" s="41"/>
      <c r="H402" s="41"/>
    </row>
    <row r="403" ht="15.75" customHeight="1">
      <c r="B403" s="41"/>
      <c r="C403" s="7"/>
      <c r="D403" s="7"/>
      <c r="E403" s="7"/>
      <c r="F403" s="7"/>
      <c r="G403" s="41"/>
      <c r="H403" s="41"/>
    </row>
    <row r="404" ht="15.75" customHeight="1">
      <c r="B404" s="41"/>
      <c r="C404" s="7"/>
      <c r="D404" s="7"/>
      <c r="E404" s="7"/>
      <c r="F404" s="7"/>
      <c r="G404" s="41"/>
      <c r="H404" s="41"/>
    </row>
    <row r="405" ht="15.75" customHeight="1">
      <c r="B405" s="41"/>
      <c r="C405" s="7"/>
      <c r="D405" s="7"/>
      <c r="E405" s="7"/>
      <c r="F405" s="7"/>
      <c r="G405" s="41"/>
      <c r="H405" s="41"/>
    </row>
    <row r="406" ht="15.75" customHeight="1">
      <c r="B406" s="41"/>
      <c r="C406" s="7"/>
      <c r="D406" s="7"/>
      <c r="E406" s="7"/>
      <c r="F406" s="7"/>
      <c r="G406" s="41"/>
      <c r="H406" s="41"/>
    </row>
    <row r="407" ht="15.75" customHeight="1">
      <c r="B407" s="41"/>
      <c r="C407" s="7"/>
      <c r="D407" s="7"/>
      <c r="E407" s="7"/>
      <c r="F407" s="7"/>
      <c r="G407" s="41"/>
      <c r="H407" s="41"/>
    </row>
    <row r="408" ht="15.75" customHeight="1">
      <c r="B408" s="41"/>
      <c r="C408" s="7"/>
      <c r="D408" s="7"/>
      <c r="E408" s="7"/>
      <c r="F408" s="7"/>
      <c r="G408" s="41"/>
      <c r="H408" s="41"/>
    </row>
    <row r="409" ht="15.75" customHeight="1">
      <c r="B409" s="41"/>
      <c r="C409" s="7"/>
      <c r="D409" s="7"/>
      <c r="E409" s="7"/>
      <c r="F409" s="7"/>
      <c r="G409" s="41"/>
      <c r="H409" s="41"/>
    </row>
    <row r="410" ht="15.75" customHeight="1">
      <c r="B410" s="41"/>
      <c r="C410" s="7"/>
      <c r="D410" s="7"/>
      <c r="E410" s="7"/>
      <c r="F410" s="7"/>
      <c r="G410" s="41"/>
      <c r="H410" s="41"/>
    </row>
    <row r="411" ht="15.75" customHeight="1">
      <c r="B411" s="41"/>
      <c r="C411" s="7"/>
      <c r="D411" s="7"/>
      <c r="E411" s="7"/>
      <c r="F411" s="7"/>
      <c r="G411" s="41"/>
      <c r="H411" s="41"/>
    </row>
    <row r="412" ht="15.75" customHeight="1">
      <c r="B412" s="41"/>
      <c r="C412" s="7"/>
      <c r="D412" s="7"/>
      <c r="E412" s="7"/>
      <c r="F412" s="7"/>
      <c r="G412" s="41"/>
      <c r="H412" s="41"/>
    </row>
    <row r="413" ht="15.75" customHeight="1">
      <c r="B413" s="41"/>
      <c r="C413" s="7"/>
      <c r="D413" s="7"/>
      <c r="E413" s="7"/>
      <c r="F413" s="7"/>
      <c r="G413" s="41"/>
      <c r="H413" s="41"/>
    </row>
    <row r="414" ht="15.75" customHeight="1">
      <c r="B414" s="41"/>
      <c r="C414" s="7"/>
      <c r="D414" s="7"/>
      <c r="E414" s="7"/>
      <c r="F414" s="7"/>
      <c r="G414" s="41"/>
      <c r="H414" s="41"/>
    </row>
    <row r="415" ht="15.75" customHeight="1">
      <c r="B415" s="41"/>
      <c r="C415" s="7"/>
      <c r="D415" s="7"/>
      <c r="E415" s="7"/>
      <c r="F415" s="7"/>
      <c r="G415" s="41"/>
      <c r="H415" s="41"/>
    </row>
    <row r="416" ht="15.75" customHeight="1">
      <c r="B416" s="41"/>
      <c r="C416" s="7"/>
      <c r="D416" s="7"/>
      <c r="E416" s="7"/>
      <c r="F416" s="7"/>
      <c r="G416" s="41"/>
      <c r="H416" s="41"/>
    </row>
    <row r="417" ht="15.75" customHeight="1">
      <c r="B417" s="41"/>
      <c r="C417" s="7"/>
      <c r="D417" s="7"/>
      <c r="E417" s="7"/>
      <c r="F417" s="7"/>
      <c r="G417" s="41"/>
      <c r="H417" s="41"/>
    </row>
    <row r="418" ht="15.75" customHeight="1">
      <c r="B418" s="41"/>
      <c r="C418" s="7"/>
      <c r="D418" s="7"/>
      <c r="E418" s="7"/>
      <c r="F418" s="7"/>
      <c r="G418" s="41"/>
      <c r="H418" s="41"/>
    </row>
    <row r="419" ht="15.75" customHeight="1">
      <c r="B419" s="41"/>
      <c r="C419" s="7"/>
      <c r="D419" s="7"/>
      <c r="E419" s="7"/>
      <c r="F419" s="7"/>
      <c r="G419" s="41"/>
      <c r="H419" s="41"/>
    </row>
    <row r="420" ht="15.75" customHeight="1">
      <c r="B420" s="41"/>
      <c r="C420" s="7"/>
      <c r="D420" s="7"/>
      <c r="E420" s="7"/>
      <c r="F420" s="7"/>
      <c r="G420" s="41"/>
      <c r="H420" s="41"/>
    </row>
    <row r="421" ht="15.75" customHeight="1">
      <c r="B421" s="41"/>
      <c r="C421" s="7"/>
      <c r="D421" s="7"/>
      <c r="E421" s="7"/>
      <c r="F421" s="7"/>
      <c r="G421" s="41"/>
      <c r="H421" s="41"/>
    </row>
    <row r="422" ht="15.75" customHeight="1">
      <c r="B422" s="41"/>
      <c r="C422" s="7"/>
      <c r="D422" s="7"/>
      <c r="E422" s="7"/>
      <c r="F422" s="7"/>
      <c r="G422" s="41"/>
      <c r="H422" s="41"/>
    </row>
    <row r="423" ht="15.75" customHeight="1">
      <c r="B423" s="41"/>
      <c r="C423" s="7"/>
      <c r="D423" s="7"/>
      <c r="E423" s="7"/>
      <c r="F423" s="7"/>
      <c r="G423" s="41"/>
      <c r="H423" s="41"/>
    </row>
    <row r="424" ht="15.75" customHeight="1">
      <c r="B424" s="41"/>
      <c r="C424" s="7"/>
      <c r="D424" s="7"/>
      <c r="E424" s="7"/>
      <c r="F424" s="7"/>
      <c r="G424" s="41"/>
      <c r="H424" s="41"/>
    </row>
    <row r="425" ht="15.75" customHeight="1">
      <c r="B425" s="41"/>
      <c r="C425" s="7"/>
      <c r="D425" s="7"/>
      <c r="E425" s="7"/>
      <c r="F425" s="7"/>
      <c r="G425" s="41"/>
      <c r="H425" s="41"/>
    </row>
    <row r="426" ht="15.75" customHeight="1">
      <c r="B426" s="41"/>
      <c r="C426" s="7"/>
      <c r="D426" s="7"/>
      <c r="E426" s="7"/>
      <c r="F426" s="7"/>
      <c r="G426" s="41"/>
      <c r="H426" s="41"/>
    </row>
    <row r="427" ht="15.75" customHeight="1">
      <c r="B427" s="41"/>
      <c r="C427" s="7"/>
      <c r="D427" s="7"/>
      <c r="E427" s="7"/>
      <c r="F427" s="7"/>
      <c r="G427" s="41"/>
      <c r="H427" s="41"/>
    </row>
    <row r="428" ht="15.75" customHeight="1">
      <c r="B428" s="41"/>
      <c r="C428" s="7"/>
      <c r="D428" s="7"/>
      <c r="E428" s="7"/>
      <c r="F428" s="7"/>
      <c r="G428" s="41"/>
      <c r="H428" s="41"/>
    </row>
    <row r="429" ht="15.75" customHeight="1">
      <c r="B429" s="41"/>
      <c r="C429" s="7"/>
      <c r="D429" s="7"/>
      <c r="E429" s="7"/>
      <c r="F429" s="7"/>
      <c r="G429" s="41"/>
      <c r="H429" s="41"/>
    </row>
    <row r="430" ht="15.75" customHeight="1">
      <c r="B430" s="41"/>
      <c r="C430" s="7"/>
      <c r="D430" s="7"/>
      <c r="E430" s="7"/>
      <c r="F430" s="7"/>
      <c r="G430" s="41"/>
      <c r="H430" s="41"/>
    </row>
    <row r="431" ht="15.75" customHeight="1">
      <c r="B431" s="41"/>
      <c r="C431" s="7"/>
      <c r="D431" s="7"/>
      <c r="E431" s="7"/>
      <c r="F431" s="7"/>
      <c r="G431" s="41"/>
      <c r="H431" s="41"/>
    </row>
    <row r="432" ht="15.75" customHeight="1">
      <c r="B432" s="41"/>
      <c r="C432" s="7"/>
      <c r="D432" s="7"/>
      <c r="E432" s="7"/>
      <c r="F432" s="7"/>
      <c r="G432" s="41"/>
      <c r="H432" s="41"/>
    </row>
    <row r="433" ht="15.75" customHeight="1">
      <c r="B433" s="41"/>
      <c r="C433" s="7"/>
      <c r="D433" s="7"/>
      <c r="E433" s="7"/>
      <c r="F433" s="7"/>
      <c r="G433" s="41"/>
      <c r="H433" s="41"/>
    </row>
    <row r="434" ht="15.75" customHeight="1">
      <c r="B434" s="41"/>
      <c r="C434" s="7"/>
      <c r="D434" s="7"/>
      <c r="E434" s="7"/>
      <c r="F434" s="7"/>
      <c r="G434" s="41"/>
      <c r="H434" s="41"/>
    </row>
    <row r="435" ht="15.75" customHeight="1">
      <c r="B435" s="41"/>
      <c r="C435" s="7"/>
      <c r="D435" s="7"/>
      <c r="E435" s="7"/>
      <c r="F435" s="7"/>
      <c r="G435" s="41"/>
      <c r="H435" s="41"/>
    </row>
    <row r="436" ht="15.75" customHeight="1">
      <c r="B436" s="41"/>
      <c r="C436" s="7"/>
      <c r="D436" s="7"/>
      <c r="E436" s="7"/>
      <c r="F436" s="7"/>
      <c r="G436" s="41"/>
      <c r="H436" s="41"/>
    </row>
    <row r="437" ht="15.75" customHeight="1">
      <c r="B437" s="41"/>
      <c r="C437" s="7"/>
      <c r="D437" s="7"/>
      <c r="E437" s="7"/>
      <c r="F437" s="7"/>
      <c r="G437" s="41"/>
      <c r="H437" s="41"/>
    </row>
    <row r="438" ht="15.75" customHeight="1">
      <c r="B438" s="41"/>
      <c r="C438" s="7"/>
      <c r="D438" s="7"/>
      <c r="E438" s="7"/>
      <c r="F438" s="7"/>
      <c r="G438" s="41"/>
      <c r="H438" s="41"/>
    </row>
    <row r="439" ht="15.75" customHeight="1">
      <c r="B439" s="41"/>
      <c r="C439" s="7"/>
      <c r="D439" s="7"/>
      <c r="E439" s="7"/>
      <c r="F439" s="7"/>
      <c r="G439" s="41"/>
      <c r="H439" s="41"/>
    </row>
    <row r="440" ht="15.75" customHeight="1">
      <c r="B440" s="41"/>
      <c r="C440" s="7"/>
      <c r="D440" s="7"/>
      <c r="E440" s="7"/>
      <c r="F440" s="7"/>
      <c r="G440" s="41"/>
      <c r="H440" s="41"/>
    </row>
    <row r="441" ht="15.75" customHeight="1">
      <c r="B441" s="41"/>
      <c r="C441" s="7"/>
      <c r="D441" s="7"/>
      <c r="E441" s="7"/>
      <c r="F441" s="7"/>
      <c r="G441" s="41"/>
      <c r="H441" s="41"/>
    </row>
    <row r="442" ht="15.75" customHeight="1">
      <c r="B442" s="41"/>
      <c r="C442" s="7"/>
      <c r="D442" s="7"/>
      <c r="E442" s="7"/>
      <c r="F442" s="7"/>
      <c r="G442" s="41"/>
      <c r="H442" s="41"/>
    </row>
    <row r="443" ht="15.75" customHeight="1">
      <c r="B443" s="41"/>
      <c r="C443" s="7"/>
      <c r="D443" s="7"/>
      <c r="E443" s="7"/>
      <c r="F443" s="7"/>
      <c r="G443" s="41"/>
      <c r="H443" s="41"/>
    </row>
    <row r="444" ht="15.75" customHeight="1">
      <c r="B444" s="41"/>
      <c r="C444" s="7"/>
      <c r="D444" s="7"/>
      <c r="E444" s="7"/>
      <c r="F444" s="7"/>
      <c r="G444" s="41"/>
      <c r="H444" s="41"/>
    </row>
    <row r="445" ht="15.75" customHeight="1">
      <c r="B445" s="41"/>
      <c r="C445" s="7"/>
      <c r="D445" s="7"/>
      <c r="E445" s="7"/>
      <c r="F445" s="7"/>
      <c r="G445" s="41"/>
      <c r="H445" s="41"/>
    </row>
    <row r="446" ht="15.75" customHeight="1">
      <c r="B446" s="41"/>
      <c r="C446" s="7"/>
      <c r="D446" s="7"/>
      <c r="E446" s="7"/>
      <c r="F446" s="7"/>
      <c r="G446" s="41"/>
      <c r="H446" s="41"/>
    </row>
    <row r="447" ht="15.75" customHeight="1">
      <c r="B447" s="41"/>
      <c r="C447" s="7"/>
      <c r="D447" s="7"/>
      <c r="E447" s="7"/>
      <c r="F447" s="7"/>
      <c r="G447" s="41"/>
      <c r="H447" s="41"/>
    </row>
    <row r="448" ht="15.75" customHeight="1">
      <c r="B448" s="41"/>
      <c r="C448" s="7"/>
      <c r="D448" s="7"/>
      <c r="E448" s="7"/>
      <c r="F448" s="7"/>
      <c r="G448" s="41"/>
      <c r="H448" s="41"/>
    </row>
    <row r="449" ht="15.75" customHeight="1">
      <c r="B449" s="41"/>
      <c r="C449" s="7"/>
      <c r="D449" s="7"/>
      <c r="E449" s="7"/>
      <c r="F449" s="7"/>
      <c r="G449" s="41"/>
      <c r="H449" s="41"/>
    </row>
    <row r="450" ht="15.75" customHeight="1">
      <c r="B450" s="41"/>
      <c r="C450" s="7"/>
      <c r="D450" s="7"/>
      <c r="E450" s="7"/>
      <c r="F450" s="7"/>
      <c r="G450" s="41"/>
      <c r="H450" s="41"/>
    </row>
    <row r="451" ht="15.75" customHeight="1">
      <c r="B451" s="41"/>
      <c r="C451" s="7"/>
      <c r="D451" s="7"/>
      <c r="E451" s="7"/>
      <c r="F451" s="7"/>
      <c r="G451" s="41"/>
      <c r="H451" s="41"/>
    </row>
    <row r="452" ht="15.75" customHeight="1">
      <c r="B452" s="41"/>
      <c r="C452" s="7"/>
      <c r="D452" s="7"/>
      <c r="E452" s="7"/>
      <c r="F452" s="7"/>
      <c r="G452" s="41"/>
      <c r="H452" s="41"/>
    </row>
    <row r="453" ht="15.75" customHeight="1">
      <c r="B453" s="41"/>
      <c r="C453" s="7"/>
      <c r="D453" s="7"/>
      <c r="E453" s="7"/>
      <c r="F453" s="7"/>
      <c r="G453" s="41"/>
      <c r="H453" s="41"/>
    </row>
    <row r="454" ht="15.75" customHeight="1">
      <c r="B454" s="41"/>
      <c r="C454" s="7"/>
      <c r="D454" s="7"/>
      <c r="E454" s="7"/>
      <c r="F454" s="7"/>
      <c r="G454" s="41"/>
      <c r="H454" s="41"/>
    </row>
    <row r="455" ht="15.75" customHeight="1">
      <c r="B455" s="41"/>
      <c r="C455" s="7"/>
      <c r="D455" s="7"/>
      <c r="E455" s="7"/>
      <c r="F455" s="7"/>
      <c r="G455" s="41"/>
      <c r="H455" s="41"/>
    </row>
    <row r="456" ht="15.75" customHeight="1">
      <c r="B456" s="41"/>
      <c r="C456" s="7"/>
      <c r="D456" s="7"/>
      <c r="E456" s="7"/>
      <c r="F456" s="7"/>
      <c r="G456" s="41"/>
      <c r="H456" s="41"/>
    </row>
    <row r="457" ht="15.75" customHeight="1">
      <c r="B457" s="41"/>
      <c r="C457" s="7"/>
      <c r="D457" s="7"/>
      <c r="E457" s="7"/>
      <c r="F457" s="7"/>
      <c r="G457" s="41"/>
      <c r="H457" s="41"/>
    </row>
    <row r="458" ht="15.75" customHeight="1">
      <c r="B458" s="41"/>
      <c r="C458" s="7"/>
      <c r="D458" s="7"/>
      <c r="E458" s="7"/>
      <c r="F458" s="7"/>
      <c r="G458" s="41"/>
      <c r="H458" s="41"/>
    </row>
    <row r="459" ht="15.75" customHeight="1">
      <c r="B459" s="41"/>
      <c r="C459" s="7"/>
      <c r="D459" s="7"/>
      <c r="E459" s="7"/>
      <c r="F459" s="7"/>
      <c r="G459" s="41"/>
      <c r="H459" s="41"/>
    </row>
    <row r="460" ht="15.75" customHeight="1">
      <c r="B460" s="41"/>
      <c r="C460" s="7"/>
      <c r="D460" s="7"/>
      <c r="E460" s="7"/>
      <c r="F460" s="7"/>
      <c r="G460" s="41"/>
      <c r="H460" s="41"/>
    </row>
    <row r="461" ht="15.75" customHeight="1">
      <c r="B461" s="41"/>
      <c r="C461" s="7"/>
      <c r="D461" s="7"/>
      <c r="E461" s="7"/>
      <c r="F461" s="7"/>
      <c r="G461" s="41"/>
      <c r="H461" s="41"/>
    </row>
    <row r="462" ht="15.75" customHeight="1">
      <c r="B462" s="41"/>
      <c r="C462" s="7"/>
      <c r="D462" s="7"/>
      <c r="E462" s="7"/>
      <c r="F462" s="7"/>
      <c r="G462" s="41"/>
      <c r="H462" s="41"/>
    </row>
    <row r="463" ht="15.75" customHeight="1">
      <c r="B463" s="41"/>
      <c r="C463" s="7"/>
      <c r="D463" s="7"/>
      <c r="E463" s="7"/>
      <c r="F463" s="7"/>
      <c r="G463" s="41"/>
      <c r="H463" s="41"/>
    </row>
    <row r="464" ht="15.75" customHeight="1">
      <c r="B464" s="41"/>
      <c r="C464" s="7"/>
      <c r="D464" s="7"/>
      <c r="E464" s="7"/>
      <c r="F464" s="7"/>
      <c r="G464" s="41"/>
      <c r="H464" s="41"/>
    </row>
    <row r="465" ht="15.75" customHeight="1">
      <c r="B465" s="41"/>
      <c r="C465" s="7"/>
      <c r="D465" s="7"/>
      <c r="E465" s="7"/>
      <c r="F465" s="7"/>
      <c r="G465" s="41"/>
      <c r="H465" s="41"/>
    </row>
    <row r="466" ht="15.75" customHeight="1">
      <c r="B466" s="41"/>
      <c r="C466" s="7"/>
      <c r="D466" s="7"/>
      <c r="E466" s="7"/>
      <c r="F466" s="7"/>
      <c r="G466" s="41"/>
      <c r="H466" s="41"/>
    </row>
    <row r="467" ht="15.75" customHeight="1">
      <c r="B467" s="41"/>
      <c r="C467" s="7"/>
      <c r="D467" s="7"/>
      <c r="E467" s="7"/>
      <c r="F467" s="7"/>
      <c r="G467" s="41"/>
      <c r="H467" s="41"/>
    </row>
    <row r="468" ht="15.75" customHeight="1">
      <c r="B468" s="41"/>
      <c r="C468" s="7"/>
      <c r="D468" s="7"/>
      <c r="E468" s="7"/>
      <c r="F468" s="7"/>
      <c r="G468" s="41"/>
      <c r="H468" s="41"/>
    </row>
    <row r="469" ht="15.75" customHeight="1">
      <c r="B469" s="41"/>
      <c r="C469" s="7"/>
      <c r="D469" s="7"/>
      <c r="E469" s="7"/>
      <c r="F469" s="7"/>
      <c r="G469" s="41"/>
      <c r="H469" s="41"/>
    </row>
    <row r="470" ht="15.75" customHeight="1">
      <c r="B470" s="41"/>
      <c r="C470" s="7"/>
      <c r="D470" s="7"/>
      <c r="E470" s="7"/>
      <c r="F470" s="7"/>
      <c r="G470" s="41"/>
      <c r="H470" s="41"/>
    </row>
    <row r="471" ht="15.75" customHeight="1">
      <c r="B471" s="41"/>
      <c r="C471" s="7"/>
      <c r="D471" s="7"/>
      <c r="E471" s="7"/>
      <c r="F471" s="7"/>
      <c r="G471" s="41"/>
      <c r="H471" s="41"/>
    </row>
    <row r="472" ht="15.75" customHeight="1">
      <c r="B472" s="41"/>
      <c r="C472" s="7"/>
      <c r="D472" s="7"/>
      <c r="E472" s="7"/>
      <c r="F472" s="7"/>
      <c r="G472" s="41"/>
      <c r="H472" s="41"/>
    </row>
    <row r="473" ht="15.75" customHeight="1">
      <c r="B473" s="41"/>
      <c r="C473" s="7"/>
      <c r="D473" s="7"/>
      <c r="E473" s="7"/>
      <c r="F473" s="7"/>
      <c r="G473" s="41"/>
      <c r="H473" s="41"/>
    </row>
    <row r="474" ht="15.75" customHeight="1">
      <c r="B474" s="41"/>
      <c r="C474" s="7"/>
      <c r="D474" s="7"/>
      <c r="E474" s="7"/>
      <c r="F474" s="7"/>
      <c r="G474" s="41"/>
      <c r="H474" s="41"/>
    </row>
    <row r="475" ht="15.75" customHeight="1">
      <c r="B475" s="41"/>
      <c r="C475" s="7"/>
      <c r="D475" s="7"/>
      <c r="E475" s="7"/>
      <c r="F475" s="7"/>
      <c r="G475" s="41"/>
      <c r="H475" s="41"/>
    </row>
    <row r="476" ht="15.75" customHeight="1">
      <c r="B476" s="41"/>
      <c r="C476" s="7"/>
      <c r="D476" s="7"/>
      <c r="E476" s="7"/>
      <c r="F476" s="7"/>
      <c r="G476" s="41"/>
      <c r="H476" s="41"/>
    </row>
    <row r="477" ht="15.75" customHeight="1">
      <c r="B477" s="41"/>
      <c r="C477" s="7"/>
      <c r="D477" s="7"/>
      <c r="E477" s="7"/>
      <c r="F477" s="7"/>
      <c r="G477" s="41"/>
      <c r="H477" s="41"/>
    </row>
    <row r="478" ht="15.75" customHeight="1">
      <c r="B478" s="41"/>
      <c r="C478" s="7"/>
      <c r="D478" s="7"/>
      <c r="E478" s="7"/>
      <c r="F478" s="7"/>
      <c r="G478" s="41"/>
      <c r="H478" s="41"/>
    </row>
    <row r="479" ht="15.75" customHeight="1">
      <c r="B479" s="41"/>
      <c r="C479" s="7"/>
      <c r="D479" s="7"/>
      <c r="E479" s="7"/>
      <c r="F479" s="7"/>
      <c r="G479" s="41"/>
      <c r="H479" s="41"/>
    </row>
    <row r="480" ht="15.75" customHeight="1">
      <c r="B480" s="41"/>
      <c r="C480" s="7"/>
      <c r="D480" s="7"/>
      <c r="E480" s="7"/>
      <c r="F480" s="7"/>
      <c r="G480" s="41"/>
      <c r="H480" s="41"/>
    </row>
    <row r="481" ht="15.75" customHeight="1">
      <c r="B481" s="41"/>
      <c r="C481" s="7"/>
      <c r="D481" s="7"/>
      <c r="E481" s="7"/>
      <c r="F481" s="7"/>
      <c r="G481" s="41"/>
      <c r="H481" s="41"/>
    </row>
    <row r="482" ht="15.75" customHeight="1">
      <c r="B482" s="41"/>
      <c r="C482" s="7"/>
      <c r="D482" s="7"/>
      <c r="E482" s="7"/>
      <c r="F482" s="7"/>
      <c r="G482" s="41"/>
      <c r="H482" s="41"/>
    </row>
    <row r="483" ht="15.75" customHeight="1">
      <c r="B483" s="41"/>
      <c r="C483" s="7"/>
      <c r="D483" s="7"/>
      <c r="E483" s="7"/>
      <c r="F483" s="7"/>
      <c r="G483" s="41"/>
      <c r="H483" s="41"/>
    </row>
    <row r="484" ht="15.75" customHeight="1">
      <c r="B484" s="41"/>
      <c r="C484" s="7"/>
      <c r="D484" s="7"/>
      <c r="E484" s="7"/>
      <c r="F484" s="7"/>
      <c r="G484" s="41"/>
      <c r="H484" s="41"/>
    </row>
    <row r="485" ht="15.75" customHeight="1">
      <c r="B485" s="41"/>
      <c r="C485" s="7"/>
      <c r="D485" s="7"/>
      <c r="E485" s="7"/>
      <c r="F485" s="7"/>
      <c r="G485" s="41"/>
      <c r="H485" s="41"/>
    </row>
    <row r="486" ht="15.75" customHeight="1">
      <c r="B486" s="41"/>
      <c r="C486" s="7"/>
      <c r="D486" s="7"/>
      <c r="E486" s="7"/>
      <c r="F486" s="7"/>
      <c r="G486" s="41"/>
      <c r="H486" s="41"/>
    </row>
    <row r="487" ht="15.75" customHeight="1">
      <c r="B487" s="41"/>
      <c r="C487" s="7"/>
      <c r="D487" s="7"/>
      <c r="E487" s="7"/>
      <c r="F487" s="7"/>
      <c r="G487" s="41"/>
      <c r="H487" s="41"/>
    </row>
    <row r="488" ht="15.75" customHeight="1">
      <c r="B488" s="41"/>
      <c r="C488" s="7"/>
      <c r="D488" s="7"/>
      <c r="E488" s="7"/>
      <c r="F488" s="7"/>
      <c r="G488" s="41"/>
      <c r="H488" s="41"/>
    </row>
    <row r="489" ht="15.75" customHeight="1">
      <c r="B489" s="41"/>
      <c r="C489" s="7"/>
      <c r="D489" s="7"/>
      <c r="E489" s="7"/>
      <c r="F489" s="7"/>
      <c r="G489" s="41"/>
      <c r="H489" s="41"/>
    </row>
    <row r="490" ht="15.75" customHeight="1">
      <c r="B490" s="41"/>
      <c r="C490" s="7"/>
      <c r="D490" s="7"/>
      <c r="E490" s="7"/>
      <c r="F490" s="7"/>
      <c r="G490" s="41"/>
      <c r="H490" s="41"/>
    </row>
    <row r="491" ht="15.75" customHeight="1">
      <c r="B491" s="41"/>
      <c r="C491" s="7"/>
      <c r="D491" s="7"/>
      <c r="E491" s="7"/>
      <c r="F491" s="7"/>
      <c r="G491" s="41"/>
      <c r="H491" s="41"/>
    </row>
    <row r="492" ht="15.75" customHeight="1">
      <c r="B492" s="41"/>
      <c r="C492" s="7"/>
      <c r="D492" s="7"/>
      <c r="E492" s="7"/>
      <c r="F492" s="7"/>
      <c r="G492" s="41"/>
      <c r="H492" s="41"/>
    </row>
    <row r="493" ht="15.75" customHeight="1">
      <c r="B493" s="41"/>
      <c r="C493" s="7"/>
      <c r="D493" s="7"/>
      <c r="E493" s="7"/>
      <c r="F493" s="7"/>
      <c r="G493" s="41"/>
      <c r="H493" s="41"/>
    </row>
    <row r="494" ht="15.75" customHeight="1">
      <c r="B494" s="41"/>
      <c r="C494" s="7"/>
      <c r="D494" s="7"/>
      <c r="E494" s="7"/>
      <c r="F494" s="7"/>
      <c r="G494" s="41"/>
      <c r="H494" s="41"/>
    </row>
    <row r="495" ht="15.75" customHeight="1">
      <c r="B495" s="41"/>
      <c r="C495" s="7"/>
      <c r="D495" s="7"/>
      <c r="E495" s="7"/>
      <c r="F495" s="7"/>
      <c r="G495" s="41"/>
      <c r="H495" s="41"/>
    </row>
    <row r="496" ht="15.75" customHeight="1">
      <c r="B496" s="41"/>
      <c r="C496" s="7"/>
      <c r="D496" s="7"/>
      <c r="E496" s="7"/>
      <c r="F496" s="7"/>
      <c r="G496" s="41"/>
      <c r="H496" s="41"/>
    </row>
    <row r="497" ht="15.75" customHeight="1">
      <c r="B497" s="41"/>
      <c r="C497" s="7"/>
      <c r="D497" s="7"/>
      <c r="E497" s="7"/>
      <c r="F497" s="7"/>
      <c r="G497" s="41"/>
      <c r="H497" s="41"/>
    </row>
    <row r="498" ht="15.75" customHeight="1">
      <c r="B498" s="41"/>
      <c r="C498" s="7"/>
      <c r="D498" s="7"/>
      <c r="E498" s="7"/>
      <c r="F498" s="7"/>
      <c r="G498" s="41"/>
      <c r="H498" s="41"/>
    </row>
    <row r="499" ht="15.75" customHeight="1">
      <c r="B499" s="41"/>
      <c r="C499" s="7"/>
      <c r="D499" s="7"/>
      <c r="E499" s="7"/>
      <c r="F499" s="7"/>
      <c r="G499" s="41"/>
      <c r="H499" s="41"/>
    </row>
    <row r="500" ht="15.75" customHeight="1">
      <c r="B500" s="41"/>
      <c r="C500" s="7"/>
      <c r="D500" s="7"/>
      <c r="E500" s="7"/>
      <c r="F500" s="7"/>
      <c r="G500" s="41"/>
      <c r="H500" s="41"/>
    </row>
    <row r="501" ht="15.75" customHeight="1">
      <c r="B501" s="41"/>
      <c r="C501" s="7"/>
      <c r="D501" s="7"/>
      <c r="E501" s="7"/>
      <c r="F501" s="7"/>
      <c r="G501" s="41"/>
      <c r="H501" s="41"/>
    </row>
    <row r="502" ht="15.75" customHeight="1">
      <c r="B502" s="41"/>
      <c r="C502" s="7"/>
      <c r="D502" s="7"/>
      <c r="E502" s="7"/>
      <c r="F502" s="7"/>
      <c r="G502" s="41"/>
      <c r="H502" s="41"/>
    </row>
    <row r="503" ht="15.75" customHeight="1">
      <c r="B503" s="41"/>
      <c r="C503" s="7"/>
      <c r="D503" s="7"/>
      <c r="E503" s="7"/>
      <c r="F503" s="7"/>
      <c r="G503" s="41"/>
      <c r="H503" s="41"/>
    </row>
    <row r="504" ht="15.75" customHeight="1">
      <c r="C504" s="7"/>
      <c r="D504" s="7"/>
      <c r="E504" s="7"/>
      <c r="F504" s="7"/>
    </row>
    <row r="505" ht="15.75" customHeight="1">
      <c r="C505" s="7"/>
      <c r="D505" s="7"/>
      <c r="E505" s="7"/>
      <c r="F505" s="7"/>
    </row>
    <row r="506" ht="15.75" customHeight="1">
      <c r="C506" s="7"/>
      <c r="D506" s="7"/>
      <c r="E506" s="7"/>
      <c r="F506" s="7"/>
    </row>
    <row r="507" ht="15.75" customHeight="1">
      <c r="C507" s="7"/>
      <c r="D507" s="7"/>
      <c r="E507" s="7"/>
      <c r="F507" s="7"/>
    </row>
    <row r="508" ht="15.75" customHeight="1">
      <c r="C508" s="7"/>
      <c r="D508" s="7"/>
      <c r="E508" s="7"/>
      <c r="F508" s="7"/>
    </row>
    <row r="509" ht="15.75" customHeight="1">
      <c r="C509" s="7"/>
      <c r="D509" s="7"/>
      <c r="E509" s="7"/>
      <c r="F509" s="7"/>
    </row>
    <row r="510" ht="15.75" customHeight="1">
      <c r="C510" s="7"/>
      <c r="D510" s="7"/>
      <c r="E510" s="7"/>
      <c r="F510" s="7"/>
    </row>
    <row r="511" ht="15.75" customHeight="1">
      <c r="C511" s="7"/>
      <c r="D511" s="7"/>
      <c r="E511" s="7"/>
      <c r="F511" s="7"/>
    </row>
    <row r="512" ht="15.75" customHeight="1">
      <c r="C512" s="7"/>
      <c r="D512" s="7"/>
      <c r="E512" s="7"/>
      <c r="F512" s="7"/>
    </row>
    <row r="513" ht="15.75" customHeight="1">
      <c r="C513" s="7"/>
      <c r="D513" s="7"/>
      <c r="E513" s="7"/>
      <c r="F513" s="7"/>
    </row>
    <row r="514" ht="15.75" customHeight="1">
      <c r="C514" s="7"/>
      <c r="D514" s="7"/>
      <c r="E514" s="7"/>
      <c r="F514" s="7"/>
    </row>
    <row r="515" ht="15.75" customHeight="1">
      <c r="C515" s="7"/>
      <c r="D515" s="7"/>
      <c r="E515" s="7"/>
      <c r="F515" s="7"/>
    </row>
    <row r="516" ht="15.75" customHeight="1">
      <c r="C516" s="7"/>
      <c r="D516" s="7"/>
      <c r="E516" s="7"/>
      <c r="F516" s="7"/>
    </row>
    <row r="517" ht="15.75" customHeight="1">
      <c r="C517" s="7"/>
      <c r="D517" s="7"/>
      <c r="E517" s="7"/>
      <c r="F517" s="7"/>
    </row>
    <row r="518" ht="15.75" customHeight="1">
      <c r="C518" s="7"/>
      <c r="D518" s="7"/>
      <c r="E518" s="7"/>
      <c r="F518" s="7"/>
    </row>
    <row r="519" ht="15.75" customHeight="1">
      <c r="C519" s="7"/>
      <c r="D519" s="7"/>
      <c r="E519" s="7"/>
      <c r="F519" s="7"/>
    </row>
    <row r="520" ht="15.75" customHeight="1">
      <c r="C520" s="7"/>
      <c r="D520" s="7"/>
      <c r="E520" s="7"/>
      <c r="F520" s="7"/>
    </row>
    <row r="521" ht="15.75" customHeight="1">
      <c r="C521" s="7"/>
      <c r="D521" s="7"/>
      <c r="E521" s="7"/>
      <c r="F521" s="7"/>
    </row>
    <row r="522" ht="15.75" customHeight="1">
      <c r="C522" s="7"/>
      <c r="D522" s="7"/>
      <c r="E522" s="7"/>
      <c r="F522" s="7"/>
    </row>
    <row r="523" ht="15.75" customHeight="1">
      <c r="C523" s="7"/>
      <c r="D523" s="7"/>
      <c r="E523" s="7"/>
      <c r="F523" s="7"/>
    </row>
    <row r="524" ht="15.75" customHeight="1">
      <c r="C524" s="7"/>
      <c r="D524" s="7"/>
      <c r="E524" s="7"/>
      <c r="F524" s="7"/>
    </row>
    <row r="525" ht="15.75" customHeight="1">
      <c r="C525" s="7"/>
      <c r="D525" s="7"/>
      <c r="E525" s="7"/>
      <c r="F525" s="7"/>
    </row>
    <row r="526" ht="15.75" customHeight="1">
      <c r="C526" s="7"/>
      <c r="D526" s="7"/>
      <c r="E526" s="7"/>
      <c r="F526" s="7"/>
    </row>
    <row r="527" ht="15.75" customHeight="1">
      <c r="C527" s="7"/>
      <c r="D527" s="7"/>
      <c r="E527" s="7"/>
      <c r="F527" s="7"/>
    </row>
    <row r="528" ht="15.75" customHeight="1">
      <c r="C528" s="7"/>
      <c r="D528" s="7"/>
      <c r="E528" s="7"/>
      <c r="F528" s="7"/>
    </row>
    <row r="529" ht="15.75" customHeight="1">
      <c r="C529" s="7"/>
      <c r="D529" s="7"/>
      <c r="E529" s="7"/>
      <c r="F529" s="7"/>
    </row>
    <row r="530" ht="15.75" customHeight="1">
      <c r="C530" s="7"/>
      <c r="D530" s="7"/>
      <c r="E530" s="7"/>
      <c r="F530" s="7"/>
    </row>
    <row r="531" ht="15.75" customHeight="1">
      <c r="C531" s="7"/>
      <c r="D531" s="7"/>
      <c r="E531" s="7"/>
      <c r="F531" s="7"/>
    </row>
    <row r="532" ht="15.75" customHeight="1">
      <c r="C532" s="7"/>
      <c r="D532" s="7"/>
      <c r="E532" s="7"/>
      <c r="F532" s="7"/>
    </row>
    <row r="533" ht="15.75" customHeight="1">
      <c r="C533" s="7"/>
      <c r="D533" s="7"/>
      <c r="E533" s="7"/>
      <c r="F533" s="7"/>
    </row>
    <row r="534" ht="15.75" customHeight="1">
      <c r="C534" s="7"/>
      <c r="D534" s="7"/>
      <c r="E534" s="7"/>
      <c r="F534" s="7"/>
    </row>
    <row r="535" ht="15.75" customHeight="1">
      <c r="C535" s="7"/>
      <c r="D535" s="7"/>
      <c r="E535" s="7"/>
      <c r="F535" s="7"/>
    </row>
    <row r="536" ht="15.75" customHeight="1">
      <c r="C536" s="7"/>
      <c r="D536" s="7"/>
      <c r="E536" s="7"/>
      <c r="F536" s="7"/>
    </row>
    <row r="537" ht="15.75" customHeight="1">
      <c r="C537" s="7"/>
      <c r="D537" s="7"/>
      <c r="E537" s="7"/>
      <c r="F537" s="7"/>
    </row>
    <row r="538" ht="15.75" customHeight="1">
      <c r="C538" s="7"/>
      <c r="D538" s="7"/>
      <c r="E538" s="7"/>
      <c r="F538" s="7"/>
    </row>
    <row r="539" ht="15.75" customHeight="1">
      <c r="C539" s="7"/>
      <c r="D539" s="7"/>
      <c r="E539" s="7"/>
      <c r="F539" s="7"/>
    </row>
    <row r="540" ht="15.75" customHeight="1">
      <c r="C540" s="7"/>
      <c r="D540" s="7"/>
      <c r="E540" s="7"/>
      <c r="F540" s="7"/>
    </row>
    <row r="541" ht="15.75" customHeight="1">
      <c r="C541" s="7"/>
      <c r="D541" s="7"/>
      <c r="E541" s="7"/>
      <c r="F541" s="7"/>
    </row>
    <row r="542" ht="15.75" customHeight="1">
      <c r="C542" s="7"/>
      <c r="D542" s="7"/>
      <c r="E542" s="7"/>
      <c r="F542" s="7"/>
    </row>
    <row r="543" ht="15.75" customHeight="1">
      <c r="C543" s="7"/>
      <c r="D543" s="7"/>
      <c r="E543" s="7"/>
      <c r="F543" s="7"/>
    </row>
    <row r="544" ht="15.75" customHeight="1">
      <c r="C544" s="7"/>
      <c r="D544" s="7"/>
      <c r="E544" s="7"/>
      <c r="F544" s="7"/>
    </row>
    <row r="545" ht="15.75" customHeight="1">
      <c r="C545" s="7"/>
      <c r="D545" s="7"/>
      <c r="E545" s="7"/>
      <c r="F545" s="7"/>
    </row>
    <row r="546" ht="15.75" customHeight="1">
      <c r="C546" s="7"/>
      <c r="D546" s="7"/>
      <c r="E546" s="7"/>
      <c r="F546" s="7"/>
    </row>
    <row r="547" ht="15.75" customHeight="1">
      <c r="C547" s="7"/>
      <c r="D547" s="7"/>
      <c r="E547" s="7"/>
      <c r="F547" s="7"/>
    </row>
    <row r="548" ht="15.75" customHeight="1">
      <c r="C548" s="7"/>
      <c r="D548" s="7"/>
      <c r="E548" s="7"/>
      <c r="F548" s="7"/>
    </row>
    <row r="549" ht="15.75" customHeight="1">
      <c r="C549" s="7"/>
      <c r="D549" s="7"/>
      <c r="E549" s="7"/>
      <c r="F549" s="7"/>
    </row>
    <row r="550" ht="15.75" customHeight="1">
      <c r="C550" s="7"/>
      <c r="D550" s="7"/>
      <c r="E550" s="7"/>
      <c r="F550" s="7"/>
    </row>
    <row r="551" ht="15.75" customHeight="1">
      <c r="C551" s="7"/>
      <c r="D551" s="7"/>
      <c r="E551" s="7"/>
      <c r="F551" s="7"/>
    </row>
    <row r="552" ht="15.75" customHeight="1">
      <c r="C552" s="7"/>
      <c r="D552" s="7"/>
      <c r="E552" s="7"/>
      <c r="F552" s="7"/>
    </row>
    <row r="553" ht="15.75" customHeight="1">
      <c r="C553" s="7"/>
      <c r="D553" s="7"/>
      <c r="E553" s="7"/>
      <c r="F553" s="7"/>
    </row>
    <row r="554" ht="15.75" customHeight="1">
      <c r="C554" s="7"/>
      <c r="D554" s="7"/>
      <c r="E554" s="7"/>
      <c r="F554" s="7"/>
    </row>
    <row r="555" ht="15.75" customHeight="1">
      <c r="C555" s="7"/>
      <c r="D555" s="7"/>
      <c r="E555" s="7"/>
      <c r="F555" s="7"/>
    </row>
    <row r="556" ht="15.75" customHeight="1">
      <c r="C556" s="7"/>
      <c r="D556" s="7"/>
      <c r="E556" s="7"/>
      <c r="F556" s="7"/>
    </row>
    <row r="557" ht="15.75" customHeight="1">
      <c r="C557" s="7"/>
      <c r="D557" s="7"/>
      <c r="E557" s="7"/>
      <c r="F557" s="7"/>
    </row>
    <row r="558" ht="15.75" customHeight="1">
      <c r="C558" s="7"/>
      <c r="D558" s="7"/>
      <c r="E558" s="7"/>
      <c r="F558" s="7"/>
    </row>
    <row r="559" ht="15.75" customHeight="1">
      <c r="C559" s="7"/>
      <c r="D559" s="7"/>
      <c r="E559" s="7"/>
      <c r="F559" s="7"/>
    </row>
    <row r="560" ht="15.75" customHeight="1">
      <c r="C560" s="7"/>
      <c r="D560" s="7"/>
      <c r="E560" s="7"/>
      <c r="F560" s="7"/>
    </row>
    <row r="561" ht="15.75" customHeight="1">
      <c r="C561" s="7"/>
      <c r="D561" s="7"/>
      <c r="E561" s="7"/>
      <c r="F561" s="7"/>
    </row>
    <row r="562" ht="15.75" customHeight="1">
      <c r="C562" s="7"/>
      <c r="D562" s="7"/>
      <c r="E562" s="7"/>
      <c r="F562" s="7"/>
    </row>
    <row r="563" ht="15.75" customHeight="1">
      <c r="C563" s="7"/>
      <c r="D563" s="7"/>
      <c r="E563" s="7"/>
      <c r="F563" s="7"/>
    </row>
    <row r="564" ht="15.75" customHeight="1">
      <c r="C564" s="7"/>
      <c r="D564" s="7"/>
      <c r="E564" s="7"/>
      <c r="F564" s="7"/>
    </row>
    <row r="565" ht="15.75" customHeight="1">
      <c r="C565" s="7"/>
      <c r="D565" s="7"/>
      <c r="E565" s="7"/>
      <c r="F565" s="7"/>
    </row>
    <row r="566" ht="15.75" customHeight="1">
      <c r="C566" s="7"/>
      <c r="D566" s="7"/>
      <c r="E566" s="7"/>
      <c r="F566" s="7"/>
    </row>
    <row r="567" ht="15.75" customHeight="1">
      <c r="C567" s="7"/>
      <c r="D567" s="7"/>
      <c r="E567" s="7"/>
      <c r="F567" s="7"/>
    </row>
    <row r="568" ht="15.75" customHeight="1">
      <c r="C568" s="7"/>
      <c r="D568" s="7"/>
      <c r="E568" s="7"/>
      <c r="F568" s="7"/>
    </row>
    <row r="569" ht="15.75" customHeight="1">
      <c r="C569" s="7"/>
      <c r="D569" s="7"/>
      <c r="E569" s="7"/>
      <c r="F569" s="7"/>
    </row>
    <row r="570" ht="15.75" customHeight="1">
      <c r="C570" s="7"/>
      <c r="D570" s="7"/>
      <c r="E570" s="7"/>
      <c r="F570" s="7"/>
    </row>
    <row r="571" ht="15.75" customHeight="1">
      <c r="C571" s="7"/>
      <c r="D571" s="7"/>
      <c r="E571" s="7"/>
      <c r="F571" s="7"/>
    </row>
    <row r="572" ht="15.75" customHeight="1">
      <c r="C572" s="7"/>
      <c r="D572" s="7"/>
      <c r="E572" s="7"/>
      <c r="F572" s="7"/>
    </row>
    <row r="573" ht="15.75" customHeight="1">
      <c r="C573" s="7"/>
      <c r="D573" s="7"/>
      <c r="E573" s="7"/>
      <c r="F573" s="7"/>
    </row>
    <row r="574" ht="15.75" customHeight="1">
      <c r="C574" s="7"/>
      <c r="D574" s="7"/>
      <c r="E574" s="7"/>
      <c r="F574" s="7"/>
    </row>
    <row r="575" ht="15.75" customHeight="1">
      <c r="C575" s="7"/>
      <c r="D575" s="7"/>
      <c r="E575" s="7"/>
      <c r="F575" s="7"/>
    </row>
    <row r="576" ht="15.75" customHeight="1">
      <c r="C576" s="7"/>
      <c r="D576" s="7"/>
      <c r="E576" s="7"/>
      <c r="F576" s="7"/>
    </row>
    <row r="577" ht="15.75" customHeight="1">
      <c r="C577" s="7"/>
      <c r="D577" s="7"/>
      <c r="E577" s="7"/>
      <c r="F577" s="7"/>
    </row>
    <row r="578" ht="15.75" customHeight="1">
      <c r="C578" s="7"/>
      <c r="D578" s="7"/>
      <c r="E578" s="7"/>
      <c r="F578" s="7"/>
    </row>
    <row r="579" ht="15.75" customHeight="1">
      <c r="C579" s="7"/>
      <c r="D579" s="7"/>
      <c r="E579" s="7"/>
      <c r="F579" s="7"/>
    </row>
    <row r="580" ht="15.75" customHeight="1">
      <c r="C580" s="7"/>
      <c r="D580" s="7"/>
      <c r="E580" s="7"/>
      <c r="F580" s="7"/>
    </row>
    <row r="581" ht="15.75" customHeight="1">
      <c r="C581" s="7"/>
      <c r="D581" s="7"/>
      <c r="E581" s="7"/>
      <c r="F581" s="7"/>
    </row>
    <row r="582" ht="15.75" customHeight="1">
      <c r="C582" s="7"/>
      <c r="D582" s="7"/>
      <c r="E582" s="7"/>
      <c r="F582" s="7"/>
    </row>
    <row r="583" ht="15.75" customHeight="1">
      <c r="C583" s="7"/>
      <c r="D583" s="7"/>
      <c r="E583" s="7"/>
      <c r="F583" s="7"/>
    </row>
    <row r="584" ht="15.75" customHeight="1">
      <c r="C584" s="7"/>
      <c r="D584" s="7"/>
      <c r="E584" s="7"/>
      <c r="F584" s="7"/>
    </row>
    <row r="585" ht="15.75" customHeight="1">
      <c r="C585" s="7"/>
      <c r="D585" s="7"/>
      <c r="E585" s="7"/>
      <c r="F585" s="7"/>
    </row>
    <row r="586" ht="15.75" customHeight="1">
      <c r="C586" s="7"/>
      <c r="D586" s="7"/>
      <c r="E586" s="7"/>
      <c r="F586" s="7"/>
    </row>
    <row r="587" ht="15.75" customHeight="1">
      <c r="C587" s="7"/>
      <c r="D587" s="7"/>
      <c r="E587" s="7"/>
      <c r="F587" s="7"/>
    </row>
    <row r="588" ht="15.75" customHeight="1">
      <c r="C588" s="7"/>
      <c r="D588" s="7"/>
      <c r="E588" s="7"/>
      <c r="F588" s="7"/>
    </row>
    <row r="589" ht="15.75" customHeight="1">
      <c r="C589" s="7"/>
      <c r="D589" s="7"/>
      <c r="E589" s="7"/>
      <c r="F589" s="7"/>
    </row>
    <row r="590" ht="15.75" customHeight="1">
      <c r="C590" s="7"/>
      <c r="D590" s="7"/>
      <c r="E590" s="7"/>
      <c r="F590" s="7"/>
    </row>
    <row r="591" ht="15.75" customHeight="1">
      <c r="C591" s="7"/>
      <c r="D591" s="7"/>
      <c r="E591" s="7"/>
      <c r="F591" s="7"/>
    </row>
    <row r="592" ht="15.75" customHeight="1">
      <c r="C592" s="7"/>
      <c r="D592" s="7"/>
      <c r="E592" s="7"/>
      <c r="F592" s="7"/>
    </row>
    <row r="593" ht="15.75" customHeight="1">
      <c r="C593" s="7"/>
      <c r="D593" s="7"/>
      <c r="E593" s="7"/>
      <c r="F593" s="7"/>
    </row>
    <row r="594" ht="15.75" customHeight="1">
      <c r="C594" s="7"/>
      <c r="D594" s="7"/>
      <c r="E594" s="7"/>
      <c r="F594" s="7"/>
    </row>
    <row r="595" ht="15.75" customHeight="1">
      <c r="C595" s="7"/>
      <c r="D595" s="7"/>
      <c r="E595" s="7"/>
      <c r="F595" s="7"/>
    </row>
    <row r="596" ht="15.75" customHeight="1">
      <c r="C596" s="7"/>
      <c r="D596" s="7"/>
      <c r="E596" s="7"/>
      <c r="F596" s="7"/>
    </row>
    <row r="597" ht="15.75" customHeight="1">
      <c r="C597" s="7"/>
      <c r="D597" s="7"/>
      <c r="E597" s="7"/>
      <c r="F597" s="7"/>
    </row>
    <row r="598" ht="15.75" customHeight="1">
      <c r="C598" s="7"/>
      <c r="D598" s="7"/>
      <c r="E598" s="7"/>
      <c r="F598" s="7"/>
    </row>
    <row r="599" ht="15.75" customHeight="1">
      <c r="C599" s="7"/>
      <c r="D599" s="7"/>
      <c r="E599" s="7"/>
      <c r="F599" s="7"/>
    </row>
    <row r="600" ht="15.75" customHeight="1">
      <c r="C600" s="7"/>
      <c r="D600" s="7"/>
      <c r="E600" s="7"/>
      <c r="F600" s="7"/>
    </row>
    <row r="601" ht="15.75" customHeight="1">
      <c r="C601" s="7"/>
      <c r="D601" s="7"/>
      <c r="E601" s="7"/>
      <c r="F601" s="7"/>
    </row>
    <row r="602" ht="15.75" customHeight="1">
      <c r="C602" s="7"/>
      <c r="D602" s="7"/>
      <c r="E602" s="7"/>
      <c r="F602" s="7"/>
    </row>
    <row r="603" ht="15.75" customHeight="1">
      <c r="C603" s="7"/>
      <c r="D603" s="7"/>
      <c r="E603" s="7"/>
      <c r="F603" s="7"/>
    </row>
    <row r="604" ht="15.75" customHeight="1">
      <c r="C604" s="7"/>
      <c r="D604" s="7"/>
      <c r="E604" s="7"/>
      <c r="F604" s="7"/>
    </row>
    <row r="605" ht="15.75" customHeight="1">
      <c r="C605" s="7"/>
      <c r="D605" s="7"/>
      <c r="E605" s="7"/>
      <c r="F605" s="7"/>
    </row>
    <row r="606" ht="15.75" customHeight="1">
      <c r="C606" s="7"/>
      <c r="D606" s="7"/>
      <c r="E606" s="7"/>
      <c r="F606" s="7"/>
    </row>
    <row r="607" ht="15.75" customHeight="1">
      <c r="C607" s="7"/>
      <c r="D607" s="7"/>
      <c r="E607" s="7"/>
      <c r="F607" s="7"/>
    </row>
    <row r="608" ht="15.75" customHeight="1">
      <c r="C608" s="7"/>
      <c r="D608" s="7"/>
      <c r="E608" s="7"/>
      <c r="F608" s="7"/>
    </row>
    <row r="609" ht="15.75" customHeight="1">
      <c r="C609" s="7"/>
      <c r="D609" s="7"/>
      <c r="E609" s="7"/>
      <c r="F609" s="7"/>
    </row>
    <row r="610" ht="15.75" customHeight="1">
      <c r="C610" s="7"/>
      <c r="D610" s="7"/>
      <c r="E610" s="7"/>
      <c r="F610" s="7"/>
    </row>
    <row r="611" ht="15.75" customHeight="1">
      <c r="C611" s="7"/>
      <c r="D611" s="7"/>
      <c r="E611" s="7"/>
      <c r="F611" s="7"/>
    </row>
    <row r="612" ht="15.75" customHeight="1">
      <c r="C612" s="7"/>
      <c r="D612" s="7"/>
      <c r="E612" s="7"/>
      <c r="F612" s="7"/>
    </row>
    <row r="613" ht="15.75" customHeight="1">
      <c r="C613" s="7"/>
      <c r="D613" s="7"/>
      <c r="E613" s="7"/>
      <c r="F613" s="7"/>
    </row>
    <row r="614" ht="15.75" customHeight="1">
      <c r="C614" s="7"/>
      <c r="D614" s="7"/>
      <c r="E614" s="7"/>
      <c r="F614" s="7"/>
    </row>
    <row r="615" ht="15.75" customHeight="1">
      <c r="C615" s="7"/>
      <c r="D615" s="7"/>
      <c r="E615" s="7"/>
      <c r="F615" s="7"/>
    </row>
    <row r="616" ht="15.75" customHeight="1">
      <c r="C616" s="7"/>
      <c r="D616" s="7"/>
      <c r="E616" s="7"/>
      <c r="F616" s="7"/>
    </row>
    <row r="617" ht="15.75" customHeight="1">
      <c r="C617" s="7"/>
      <c r="D617" s="7"/>
      <c r="E617" s="7"/>
      <c r="F617" s="7"/>
    </row>
    <row r="618" ht="15.75" customHeight="1">
      <c r="C618" s="7"/>
      <c r="D618" s="7"/>
      <c r="E618" s="7"/>
      <c r="F618" s="7"/>
    </row>
    <row r="619" ht="15.75" customHeight="1">
      <c r="C619" s="7"/>
      <c r="D619" s="7"/>
      <c r="E619" s="7"/>
      <c r="F619" s="7"/>
    </row>
    <row r="620" ht="15.75" customHeight="1">
      <c r="C620" s="7"/>
      <c r="D620" s="7"/>
      <c r="E620" s="7"/>
      <c r="F620" s="7"/>
    </row>
    <row r="621" ht="15.75" customHeight="1">
      <c r="C621" s="7"/>
      <c r="D621" s="7"/>
      <c r="E621" s="7"/>
      <c r="F621" s="7"/>
    </row>
    <row r="622" ht="15.75" customHeight="1">
      <c r="C622" s="7"/>
      <c r="D622" s="7"/>
      <c r="E622" s="7"/>
      <c r="F622" s="7"/>
    </row>
    <row r="623" ht="15.75" customHeight="1">
      <c r="C623" s="7"/>
      <c r="D623" s="7"/>
      <c r="E623" s="7"/>
      <c r="F623" s="7"/>
    </row>
    <row r="624" ht="15.75" customHeight="1">
      <c r="C624" s="7"/>
      <c r="D624" s="7"/>
      <c r="E624" s="7"/>
      <c r="F624" s="7"/>
    </row>
    <row r="625" ht="15.75" customHeight="1">
      <c r="C625" s="7"/>
      <c r="D625" s="7"/>
      <c r="E625" s="7"/>
      <c r="F625" s="7"/>
    </row>
    <row r="626" ht="15.75" customHeight="1">
      <c r="C626" s="7"/>
      <c r="D626" s="7"/>
      <c r="E626" s="7"/>
      <c r="F626" s="7"/>
    </row>
    <row r="627" ht="15.75" customHeight="1">
      <c r="C627" s="7"/>
      <c r="D627" s="7"/>
      <c r="E627" s="7"/>
      <c r="F627" s="7"/>
    </row>
    <row r="628" ht="15.75" customHeight="1">
      <c r="C628" s="7"/>
      <c r="D628" s="7"/>
      <c r="E628" s="7"/>
      <c r="F628" s="7"/>
    </row>
    <row r="629" ht="15.75" customHeight="1">
      <c r="C629" s="7"/>
      <c r="D629" s="7"/>
      <c r="E629" s="7"/>
      <c r="F629" s="7"/>
    </row>
    <row r="630" ht="15.75" customHeight="1">
      <c r="C630" s="7"/>
      <c r="D630" s="7"/>
      <c r="E630" s="7"/>
      <c r="F630" s="7"/>
    </row>
    <row r="631" ht="15.75" customHeight="1">
      <c r="C631" s="7"/>
      <c r="D631" s="7"/>
      <c r="E631" s="7"/>
      <c r="F631" s="7"/>
    </row>
    <row r="632" ht="15.75" customHeight="1">
      <c r="C632" s="7"/>
      <c r="D632" s="7"/>
      <c r="E632" s="7"/>
      <c r="F632" s="7"/>
    </row>
    <row r="633" ht="15.75" customHeight="1">
      <c r="C633" s="7"/>
      <c r="D633" s="7"/>
      <c r="E633" s="7"/>
      <c r="F633" s="7"/>
    </row>
    <row r="634" ht="15.75" customHeight="1">
      <c r="C634" s="7"/>
      <c r="D634" s="7"/>
      <c r="E634" s="7"/>
      <c r="F634" s="7"/>
    </row>
    <row r="635" ht="15.75" customHeight="1">
      <c r="C635" s="7"/>
      <c r="D635" s="7"/>
      <c r="E635" s="7"/>
      <c r="F635" s="7"/>
    </row>
    <row r="636" ht="15.75" customHeight="1">
      <c r="C636" s="7"/>
      <c r="D636" s="7"/>
      <c r="E636" s="7"/>
      <c r="F636" s="7"/>
    </row>
    <row r="637" ht="15.75" customHeight="1">
      <c r="C637" s="7"/>
      <c r="D637" s="7"/>
      <c r="E637" s="7"/>
      <c r="F637" s="7"/>
    </row>
    <row r="638" ht="15.75" customHeight="1">
      <c r="C638" s="7"/>
      <c r="D638" s="7"/>
      <c r="E638" s="7"/>
      <c r="F638" s="7"/>
    </row>
    <row r="639" ht="15.75" customHeight="1">
      <c r="C639" s="7"/>
      <c r="D639" s="7"/>
      <c r="E639" s="7"/>
      <c r="F639" s="7"/>
    </row>
    <row r="640" ht="15.75" customHeight="1">
      <c r="C640" s="7"/>
      <c r="D640" s="7"/>
      <c r="E640" s="7"/>
      <c r="F640" s="7"/>
    </row>
    <row r="641" ht="15.75" customHeight="1">
      <c r="C641" s="7"/>
      <c r="D641" s="7"/>
      <c r="E641" s="7"/>
      <c r="F641" s="7"/>
    </row>
    <row r="642" ht="15.75" customHeight="1">
      <c r="C642" s="7"/>
      <c r="D642" s="7"/>
      <c r="E642" s="7"/>
      <c r="F642" s="7"/>
    </row>
    <row r="643" ht="15.75" customHeight="1">
      <c r="C643" s="7"/>
      <c r="D643" s="7"/>
      <c r="E643" s="7"/>
      <c r="F643" s="7"/>
    </row>
    <row r="644" ht="15.75" customHeight="1">
      <c r="C644" s="7"/>
      <c r="D644" s="7"/>
      <c r="E644" s="7"/>
      <c r="F644" s="7"/>
    </row>
    <row r="645" ht="15.75" customHeight="1">
      <c r="C645" s="7"/>
      <c r="D645" s="7"/>
      <c r="E645" s="7"/>
      <c r="F645" s="7"/>
    </row>
    <row r="646" ht="15.75" customHeight="1">
      <c r="C646" s="7"/>
      <c r="D646" s="7"/>
      <c r="E646" s="7"/>
      <c r="F646" s="7"/>
    </row>
    <row r="647" ht="15.75" customHeight="1">
      <c r="C647" s="7"/>
      <c r="D647" s="7"/>
      <c r="E647" s="7"/>
      <c r="F647" s="7"/>
    </row>
    <row r="648" ht="15.75" customHeight="1">
      <c r="C648" s="7"/>
      <c r="D648" s="7"/>
      <c r="E648" s="7"/>
      <c r="F648" s="7"/>
    </row>
    <row r="649" ht="15.75" customHeight="1">
      <c r="C649" s="7"/>
      <c r="D649" s="7"/>
      <c r="E649" s="7"/>
      <c r="F649" s="7"/>
    </row>
    <row r="650" ht="15.75" customHeight="1">
      <c r="C650" s="7"/>
      <c r="D650" s="7"/>
      <c r="E650" s="7"/>
      <c r="F650" s="7"/>
    </row>
    <row r="651" ht="15.75" customHeight="1">
      <c r="C651" s="7"/>
      <c r="D651" s="7"/>
      <c r="E651" s="7"/>
      <c r="F651" s="7"/>
    </row>
    <row r="652" ht="15.75" customHeight="1">
      <c r="C652" s="7"/>
      <c r="D652" s="7"/>
      <c r="E652" s="7"/>
      <c r="F652" s="7"/>
    </row>
    <row r="653" ht="15.75" customHeight="1">
      <c r="C653" s="7"/>
      <c r="D653" s="7"/>
      <c r="E653" s="7"/>
      <c r="F653" s="7"/>
    </row>
    <row r="654" ht="15.75" customHeight="1">
      <c r="C654" s="7"/>
      <c r="D654" s="7"/>
      <c r="E654" s="7"/>
      <c r="F654" s="7"/>
    </row>
    <row r="655" ht="15.75" customHeight="1">
      <c r="C655" s="7"/>
      <c r="D655" s="7"/>
      <c r="E655" s="7"/>
      <c r="F655" s="7"/>
    </row>
    <row r="656" ht="15.75" customHeight="1">
      <c r="C656" s="7"/>
      <c r="D656" s="7"/>
      <c r="E656" s="7"/>
      <c r="F656" s="7"/>
    </row>
    <row r="657" ht="15.75" customHeight="1">
      <c r="C657" s="7"/>
      <c r="D657" s="7"/>
      <c r="E657" s="7"/>
      <c r="F657" s="7"/>
    </row>
    <row r="658" ht="15.75" customHeight="1">
      <c r="C658" s="7"/>
      <c r="D658" s="7"/>
      <c r="E658" s="7"/>
      <c r="F658" s="7"/>
    </row>
    <row r="659" ht="15.75" customHeight="1">
      <c r="C659" s="7"/>
      <c r="D659" s="7"/>
      <c r="E659" s="7"/>
      <c r="F659" s="7"/>
    </row>
    <row r="660" ht="15.75" customHeight="1">
      <c r="C660" s="7"/>
      <c r="D660" s="7"/>
      <c r="E660" s="7"/>
      <c r="F660" s="7"/>
    </row>
    <row r="661" ht="15.75" customHeight="1">
      <c r="C661" s="7"/>
      <c r="D661" s="7"/>
      <c r="E661" s="7"/>
      <c r="F661" s="7"/>
    </row>
    <row r="662" ht="15.75" customHeight="1">
      <c r="C662" s="7"/>
      <c r="D662" s="7"/>
      <c r="E662" s="7"/>
      <c r="F662" s="7"/>
    </row>
    <row r="663" ht="15.75" customHeight="1">
      <c r="C663" s="7"/>
      <c r="D663" s="7"/>
      <c r="E663" s="7"/>
      <c r="F663" s="7"/>
    </row>
    <row r="664" ht="15.75" customHeight="1">
      <c r="C664" s="7"/>
      <c r="D664" s="7"/>
      <c r="E664" s="7"/>
      <c r="F664" s="7"/>
    </row>
    <row r="665" ht="15.75" customHeight="1">
      <c r="C665" s="7"/>
      <c r="D665" s="7"/>
      <c r="E665" s="7"/>
      <c r="F665" s="7"/>
    </row>
    <row r="666" ht="15.75" customHeight="1">
      <c r="C666" s="7"/>
      <c r="D666" s="7"/>
      <c r="E666" s="7"/>
      <c r="F666" s="7"/>
    </row>
    <row r="667" ht="15.75" customHeight="1">
      <c r="C667" s="7"/>
      <c r="D667" s="7"/>
      <c r="E667" s="7"/>
      <c r="F667" s="7"/>
    </row>
    <row r="668" ht="15.75" customHeight="1">
      <c r="C668" s="7"/>
      <c r="D668" s="7"/>
      <c r="E668" s="7"/>
      <c r="F668" s="7"/>
    </row>
    <row r="669" ht="15.75" customHeight="1">
      <c r="C669" s="7"/>
      <c r="D669" s="7"/>
      <c r="E669" s="7"/>
      <c r="F669" s="7"/>
    </row>
    <row r="670" ht="15.75" customHeight="1">
      <c r="C670" s="7"/>
      <c r="D670" s="7"/>
      <c r="E670" s="7"/>
      <c r="F670" s="7"/>
    </row>
    <row r="671" ht="15.75" customHeight="1">
      <c r="C671" s="7"/>
      <c r="D671" s="7"/>
      <c r="E671" s="7"/>
      <c r="F671" s="7"/>
    </row>
    <row r="672" ht="15.75" customHeight="1">
      <c r="C672" s="7"/>
      <c r="D672" s="7"/>
      <c r="E672" s="7"/>
      <c r="F672" s="7"/>
    </row>
    <row r="673" ht="15.75" customHeight="1">
      <c r="C673" s="7"/>
      <c r="D673" s="7"/>
      <c r="E673" s="7"/>
      <c r="F673" s="7"/>
    </row>
    <row r="674" ht="15.75" customHeight="1">
      <c r="C674" s="7"/>
      <c r="D674" s="7"/>
      <c r="E674" s="7"/>
      <c r="F674" s="7"/>
    </row>
    <row r="675" ht="15.75" customHeight="1">
      <c r="C675" s="7"/>
      <c r="D675" s="7"/>
      <c r="E675" s="7"/>
      <c r="F675" s="7"/>
    </row>
    <row r="676" ht="15.75" customHeight="1">
      <c r="C676" s="7"/>
      <c r="D676" s="7"/>
      <c r="E676" s="7"/>
      <c r="F676" s="7"/>
    </row>
    <row r="677" ht="15.75" customHeight="1">
      <c r="C677" s="7"/>
      <c r="D677" s="7"/>
      <c r="E677" s="7"/>
      <c r="F677" s="7"/>
    </row>
    <row r="678" ht="15.75" customHeight="1">
      <c r="C678" s="7"/>
      <c r="D678" s="7"/>
      <c r="E678" s="7"/>
      <c r="F678" s="7"/>
    </row>
    <row r="679" ht="15.75" customHeight="1">
      <c r="C679" s="7"/>
      <c r="D679" s="7"/>
      <c r="E679" s="7"/>
      <c r="F679" s="7"/>
    </row>
    <row r="680" ht="15.75" customHeight="1">
      <c r="C680" s="7"/>
      <c r="D680" s="7"/>
      <c r="E680" s="7"/>
      <c r="F680" s="7"/>
    </row>
    <row r="681" ht="15.75" customHeight="1">
      <c r="C681" s="7"/>
      <c r="D681" s="7"/>
      <c r="E681" s="7"/>
      <c r="F681" s="7"/>
    </row>
    <row r="682" ht="15.75" customHeight="1">
      <c r="C682" s="7"/>
      <c r="D682" s="7"/>
      <c r="E682" s="7"/>
      <c r="F682" s="7"/>
    </row>
    <row r="683" ht="15.75" customHeight="1">
      <c r="C683" s="7"/>
      <c r="D683" s="7"/>
      <c r="E683" s="7"/>
      <c r="F683" s="7"/>
    </row>
    <row r="684" ht="15.75" customHeight="1">
      <c r="C684" s="7"/>
      <c r="D684" s="7"/>
      <c r="E684" s="7"/>
      <c r="F684" s="7"/>
    </row>
    <row r="685" ht="15.75" customHeight="1">
      <c r="C685" s="7"/>
      <c r="D685" s="7"/>
      <c r="E685" s="7"/>
      <c r="F685" s="7"/>
    </row>
    <row r="686" ht="15.75" customHeight="1">
      <c r="C686" s="7"/>
      <c r="D686" s="7"/>
      <c r="E686" s="7"/>
      <c r="F686" s="7"/>
    </row>
    <row r="687" ht="15.75" customHeight="1">
      <c r="C687" s="7"/>
      <c r="D687" s="7"/>
      <c r="E687" s="7"/>
      <c r="F687" s="7"/>
    </row>
    <row r="688" ht="15.75" customHeight="1">
      <c r="C688" s="7"/>
      <c r="D688" s="7"/>
      <c r="E688" s="7"/>
      <c r="F688" s="7"/>
    </row>
    <row r="689" ht="15.75" customHeight="1">
      <c r="C689" s="7"/>
      <c r="D689" s="7"/>
      <c r="E689" s="7"/>
      <c r="F689" s="7"/>
    </row>
    <row r="690" ht="15.75" customHeight="1">
      <c r="C690" s="7"/>
      <c r="D690" s="7"/>
      <c r="E690" s="7"/>
      <c r="F690" s="7"/>
    </row>
    <row r="691" ht="15.75" customHeight="1">
      <c r="C691" s="7"/>
      <c r="D691" s="7"/>
      <c r="E691" s="7"/>
      <c r="F691" s="7"/>
    </row>
    <row r="692" ht="15.75" customHeight="1">
      <c r="C692" s="7"/>
      <c r="D692" s="7"/>
      <c r="E692" s="7"/>
      <c r="F692" s="7"/>
    </row>
    <row r="693" ht="15.75" customHeight="1">
      <c r="C693" s="7"/>
      <c r="D693" s="7"/>
      <c r="E693" s="7"/>
      <c r="F693" s="7"/>
    </row>
    <row r="694" ht="15.75" customHeight="1">
      <c r="C694" s="7"/>
      <c r="D694" s="7"/>
      <c r="E694" s="7"/>
      <c r="F694" s="7"/>
    </row>
    <row r="695" ht="15.75" customHeight="1">
      <c r="C695" s="7"/>
      <c r="D695" s="7"/>
      <c r="E695" s="7"/>
      <c r="F695" s="7"/>
    </row>
    <row r="696" ht="15.75" customHeight="1">
      <c r="C696" s="7"/>
      <c r="D696" s="7"/>
      <c r="E696" s="7"/>
      <c r="F696" s="7"/>
    </row>
    <row r="697" ht="15.75" customHeight="1">
      <c r="C697" s="7"/>
      <c r="D697" s="7"/>
      <c r="E697" s="7"/>
      <c r="F697" s="7"/>
    </row>
    <row r="698" ht="15.75" customHeight="1">
      <c r="C698" s="7"/>
      <c r="D698" s="7"/>
      <c r="E698" s="7"/>
      <c r="F698" s="7"/>
    </row>
    <row r="699" ht="15.75" customHeight="1">
      <c r="C699" s="7"/>
      <c r="D699" s="7"/>
      <c r="E699" s="7"/>
      <c r="F699" s="7"/>
    </row>
    <row r="700" ht="15.75" customHeight="1">
      <c r="C700" s="7"/>
      <c r="D700" s="7"/>
      <c r="E700" s="7"/>
      <c r="F700" s="7"/>
    </row>
    <row r="701" ht="15.75" customHeight="1">
      <c r="C701" s="7"/>
      <c r="D701" s="7"/>
      <c r="E701" s="7"/>
      <c r="F701" s="7"/>
    </row>
    <row r="702" ht="15.75" customHeight="1">
      <c r="C702" s="7"/>
      <c r="D702" s="7"/>
      <c r="E702" s="7"/>
      <c r="F702" s="7"/>
    </row>
    <row r="703" ht="15.75" customHeight="1">
      <c r="C703" s="7"/>
      <c r="D703" s="7"/>
      <c r="E703" s="7"/>
      <c r="F703" s="7"/>
    </row>
    <row r="704" ht="15.75" customHeight="1">
      <c r="C704" s="7"/>
      <c r="D704" s="7"/>
      <c r="E704" s="7"/>
      <c r="F704" s="7"/>
    </row>
    <row r="705" ht="15.75" customHeight="1">
      <c r="C705" s="7"/>
      <c r="D705" s="7"/>
      <c r="E705" s="7"/>
      <c r="F705" s="7"/>
    </row>
    <row r="706" ht="15.75" customHeight="1">
      <c r="C706" s="7"/>
      <c r="D706" s="7"/>
      <c r="E706" s="7"/>
      <c r="F706" s="7"/>
    </row>
    <row r="707" ht="15.75" customHeight="1">
      <c r="C707" s="7"/>
      <c r="D707" s="7"/>
      <c r="E707" s="7"/>
      <c r="F707" s="7"/>
    </row>
    <row r="708" ht="15.75" customHeight="1">
      <c r="C708" s="7"/>
      <c r="D708" s="7"/>
      <c r="E708" s="7"/>
      <c r="F708" s="7"/>
    </row>
    <row r="709" ht="15.75" customHeight="1">
      <c r="C709" s="7"/>
      <c r="D709" s="7"/>
      <c r="E709" s="7"/>
      <c r="F709" s="7"/>
    </row>
    <row r="710" ht="15.75" customHeight="1">
      <c r="C710" s="7"/>
      <c r="D710" s="7"/>
      <c r="E710" s="7"/>
      <c r="F710" s="7"/>
    </row>
    <row r="711" ht="15.75" customHeight="1">
      <c r="C711" s="7"/>
      <c r="D711" s="7"/>
      <c r="E711" s="7"/>
      <c r="F711" s="7"/>
    </row>
    <row r="712" ht="15.75" customHeight="1">
      <c r="C712" s="7"/>
      <c r="D712" s="7"/>
      <c r="E712" s="7"/>
      <c r="F712" s="7"/>
    </row>
    <row r="713" ht="15.75" customHeight="1">
      <c r="C713" s="7"/>
      <c r="D713" s="7"/>
      <c r="E713" s="7"/>
      <c r="F713" s="7"/>
    </row>
    <row r="714" ht="15.75" customHeight="1">
      <c r="C714" s="7"/>
      <c r="D714" s="7"/>
      <c r="E714" s="7"/>
      <c r="F714" s="7"/>
    </row>
    <row r="715" ht="15.75" customHeight="1">
      <c r="C715" s="7"/>
      <c r="D715" s="7"/>
      <c r="E715" s="7"/>
      <c r="F715" s="7"/>
    </row>
    <row r="716" ht="15.75" customHeight="1">
      <c r="C716" s="7"/>
      <c r="D716" s="7"/>
      <c r="E716" s="7"/>
      <c r="F716" s="7"/>
    </row>
    <row r="717" ht="15.75" customHeight="1">
      <c r="C717" s="7"/>
      <c r="D717" s="7"/>
      <c r="E717" s="7"/>
      <c r="F717" s="7"/>
    </row>
    <row r="718" ht="15.75" customHeight="1">
      <c r="C718" s="7"/>
      <c r="D718" s="7"/>
      <c r="E718" s="7"/>
      <c r="F718" s="7"/>
    </row>
    <row r="719" ht="15.75" customHeight="1">
      <c r="C719" s="7"/>
      <c r="D719" s="7"/>
      <c r="E719" s="7"/>
      <c r="F719" s="7"/>
    </row>
    <row r="720" ht="15.75" customHeight="1">
      <c r="C720" s="7"/>
      <c r="D720" s="7"/>
      <c r="E720" s="7"/>
      <c r="F720" s="7"/>
    </row>
    <row r="721" ht="15.75" customHeight="1">
      <c r="C721" s="7"/>
      <c r="D721" s="7"/>
      <c r="E721" s="7"/>
      <c r="F721" s="7"/>
    </row>
    <row r="722" ht="15.75" customHeight="1">
      <c r="C722" s="7"/>
      <c r="D722" s="7"/>
      <c r="E722" s="7"/>
      <c r="F722" s="7"/>
    </row>
    <row r="723" ht="15.75" customHeight="1">
      <c r="C723" s="7"/>
      <c r="D723" s="7"/>
      <c r="E723" s="7"/>
      <c r="F723" s="7"/>
    </row>
    <row r="724" ht="15.75" customHeight="1">
      <c r="C724" s="7"/>
      <c r="D724" s="7"/>
      <c r="E724" s="7"/>
      <c r="F724" s="7"/>
    </row>
    <row r="725" ht="15.75" customHeight="1">
      <c r="C725" s="7"/>
      <c r="D725" s="7"/>
      <c r="E725" s="7"/>
      <c r="F725" s="7"/>
    </row>
    <row r="726" ht="15.75" customHeight="1">
      <c r="C726" s="7"/>
      <c r="D726" s="7"/>
      <c r="E726" s="7"/>
      <c r="F726" s="7"/>
    </row>
    <row r="727" ht="15.75" customHeight="1">
      <c r="C727" s="7"/>
      <c r="D727" s="7"/>
      <c r="E727" s="7"/>
      <c r="F727" s="7"/>
    </row>
    <row r="728" ht="15.75" customHeight="1">
      <c r="C728" s="7"/>
      <c r="D728" s="7"/>
      <c r="E728" s="7"/>
      <c r="F728" s="7"/>
    </row>
    <row r="729" ht="15.75" customHeight="1">
      <c r="C729" s="7"/>
      <c r="D729" s="7"/>
      <c r="E729" s="7"/>
      <c r="F729" s="7"/>
    </row>
    <row r="730" ht="15.75" customHeight="1">
      <c r="C730" s="7"/>
      <c r="D730" s="7"/>
      <c r="E730" s="7"/>
      <c r="F730" s="7"/>
    </row>
    <row r="731" ht="15.75" customHeight="1">
      <c r="C731" s="7"/>
      <c r="D731" s="7"/>
      <c r="E731" s="7"/>
      <c r="F731" s="7"/>
    </row>
    <row r="732" ht="15.75" customHeight="1">
      <c r="C732" s="7"/>
      <c r="D732" s="7"/>
      <c r="E732" s="7"/>
      <c r="F732" s="7"/>
    </row>
    <row r="733" ht="15.75" customHeight="1">
      <c r="C733" s="7"/>
      <c r="D733" s="7"/>
      <c r="E733" s="7"/>
      <c r="F733" s="7"/>
    </row>
    <row r="734" ht="15.75" customHeight="1">
      <c r="C734" s="7"/>
      <c r="D734" s="7"/>
      <c r="E734" s="7"/>
      <c r="F734" s="7"/>
    </row>
    <row r="735" ht="15.75" customHeight="1">
      <c r="C735" s="7"/>
      <c r="D735" s="7"/>
      <c r="E735" s="7"/>
      <c r="F735" s="7"/>
    </row>
    <row r="736" ht="15.75" customHeight="1">
      <c r="C736" s="7"/>
      <c r="D736" s="7"/>
      <c r="E736" s="7"/>
      <c r="F736" s="7"/>
    </row>
    <row r="737" ht="15.75" customHeight="1">
      <c r="C737" s="7"/>
      <c r="D737" s="7"/>
      <c r="E737" s="7"/>
      <c r="F737" s="7"/>
    </row>
    <row r="738" ht="15.75" customHeight="1">
      <c r="C738" s="7"/>
      <c r="D738" s="7"/>
      <c r="E738" s="7"/>
      <c r="F738" s="7"/>
    </row>
    <row r="739" ht="15.75" customHeight="1">
      <c r="C739" s="7"/>
      <c r="D739" s="7"/>
      <c r="E739" s="7"/>
      <c r="F739" s="7"/>
    </row>
    <row r="740" ht="15.75" customHeight="1">
      <c r="C740" s="7"/>
      <c r="D740" s="7"/>
      <c r="E740" s="7"/>
      <c r="F740" s="7"/>
    </row>
    <row r="741" ht="15.75" customHeight="1">
      <c r="C741" s="7"/>
      <c r="D741" s="7"/>
      <c r="E741" s="7"/>
      <c r="F741" s="7"/>
    </row>
    <row r="742" ht="15.75" customHeight="1">
      <c r="C742" s="7"/>
      <c r="D742" s="7"/>
      <c r="E742" s="7"/>
      <c r="F742" s="7"/>
    </row>
    <row r="743" ht="15.75" customHeight="1">
      <c r="C743" s="7"/>
      <c r="D743" s="7"/>
      <c r="E743" s="7"/>
      <c r="F743" s="7"/>
    </row>
    <row r="744" ht="15.75" customHeight="1">
      <c r="C744" s="7"/>
      <c r="D744" s="7"/>
      <c r="E744" s="7"/>
      <c r="F744" s="7"/>
    </row>
    <row r="745" ht="15.75" customHeight="1">
      <c r="C745" s="7"/>
      <c r="D745" s="7"/>
      <c r="E745" s="7"/>
      <c r="F745" s="7"/>
    </row>
    <row r="746" ht="15.75" customHeight="1">
      <c r="C746" s="7"/>
      <c r="D746" s="7"/>
      <c r="E746" s="7"/>
      <c r="F746" s="7"/>
    </row>
    <row r="747" ht="15.75" customHeight="1">
      <c r="C747" s="7"/>
      <c r="D747" s="7"/>
      <c r="E747" s="7"/>
      <c r="F747" s="7"/>
    </row>
    <row r="748" ht="15.75" customHeight="1">
      <c r="C748" s="7"/>
      <c r="D748" s="7"/>
      <c r="E748" s="7"/>
      <c r="F748" s="7"/>
    </row>
    <row r="749" ht="15.75" customHeight="1">
      <c r="C749" s="7"/>
      <c r="D749" s="7"/>
      <c r="E749" s="7"/>
      <c r="F749" s="7"/>
    </row>
    <row r="750" ht="15.75" customHeight="1">
      <c r="C750" s="7"/>
      <c r="D750" s="7"/>
      <c r="E750" s="7"/>
      <c r="F750" s="7"/>
    </row>
    <row r="751" ht="15.75" customHeight="1">
      <c r="C751" s="7"/>
      <c r="D751" s="7"/>
      <c r="E751" s="7"/>
      <c r="F751" s="7"/>
    </row>
    <row r="752" ht="15.75" customHeight="1">
      <c r="C752" s="7"/>
      <c r="D752" s="7"/>
      <c r="E752" s="7"/>
      <c r="F752" s="7"/>
    </row>
    <row r="753" ht="15.75" customHeight="1">
      <c r="C753" s="7"/>
      <c r="D753" s="7"/>
      <c r="E753" s="7"/>
      <c r="F753" s="7"/>
    </row>
    <row r="754" ht="15.75" customHeight="1">
      <c r="C754" s="7"/>
      <c r="D754" s="7"/>
      <c r="E754" s="7"/>
      <c r="F754" s="7"/>
    </row>
    <row r="755" ht="15.75" customHeight="1">
      <c r="C755" s="7"/>
      <c r="D755" s="7"/>
      <c r="E755" s="7"/>
      <c r="F755" s="7"/>
    </row>
    <row r="756" ht="15.75" customHeight="1">
      <c r="C756" s="7"/>
      <c r="D756" s="7"/>
      <c r="E756" s="7"/>
      <c r="F756" s="7"/>
    </row>
    <row r="757" ht="15.75" customHeight="1">
      <c r="C757" s="7"/>
      <c r="D757" s="7"/>
      <c r="E757" s="7"/>
      <c r="F757" s="7"/>
    </row>
    <row r="758" ht="15.75" customHeight="1">
      <c r="C758" s="7"/>
      <c r="D758" s="7"/>
      <c r="E758" s="7"/>
      <c r="F758" s="7"/>
    </row>
    <row r="759" ht="15.75" customHeight="1">
      <c r="C759" s="7"/>
      <c r="D759" s="7"/>
      <c r="E759" s="7"/>
      <c r="F759" s="7"/>
    </row>
    <row r="760" ht="15.75" customHeight="1">
      <c r="C760" s="7"/>
      <c r="D760" s="7"/>
      <c r="E760" s="7"/>
      <c r="F760" s="7"/>
    </row>
    <row r="761" ht="15.75" customHeight="1">
      <c r="C761" s="7"/>
      <c r="D761" s="7"/>
      <c r="E761" s="7"/>
      <c r="F761" s="7"/>
    </row>
    <row r="762" ht="15.75" customHeight="1">
      <c r="C762" s="7"/>
      <c r="D762" s="7"/>
      <c r="E762" s="7"/>
      <c r="F762" s="7"/>
    </row>
    <row r="763" ht="15.75" customHeight="1">
      <c r="C763" s="7"/>
      <c r="D763" s="7"/>
      <c r="E763" s="7"/>
      <c r="F763" s="7"/>
    </row>
    <row r="764" ht="15.75" customHeight="1">
      <c r="C764" s="7"/>
      <c r="D764" s="7"/>
      <c r="E764" s="7"/>
      <c r="F764" s="7"/>
    </row>
    <row r="765" ht="15.75" customHeight="1">
      <c r="C765" s="7"/>
      <c r="D765" s="7"/>
      <c r="E765" s="7"/>
      <c r="F765" s="7"/>
    </row>
    <row r="766" ht="15.75" customHeight="1">
      <c r="C766" s="7"/>
      <c r="D766" s="7"/>
      <c r="E766" s="7"/>
      <c r="F766" s="7"/>
    </row>
    <row r="767" ht="15.75" customHeight="1">
      <c r="C767" s="7"/>
      <c r="D767" s="7"/>
      <c r="E767" s="7"/>
      <c r="F767" s="7"/>
    </row>
    <row r="768" ht="15.75" customHeight="1">
      <c r="C768" s="7"/>
      <c r="D768" s="7"/>
      <c r="E768" s="7"/>
      <c r="F768" s="7"/>
    </row>
    <row r="769" ht="15.75" customHeight="1">
      <c r="C769" s="7"/>
      <c r="D769" s="7"/>
      <c r="E769" s="7"/>
      <c r="F769" s="7"/>
    </row>
    <row r="770" ht="15.75" customHeight="1">
      <c r="C770" s="7"/>
      <c r="D770" s="7"/>
      <c r="E770" s="7"/>
      <c r="F770" s="7"/>
    </row>
    <row r="771" ht="15.75" customHeight="1">
      <c r="C771" s="7"/>
      <c r="D771" s="7"/>
      <c r="E771" s="7"/>
      <c r="F771" s="7"/>
    </row>
    <row r="772" ht="15.75" customHeight="1">
      <c r="C772" s="7"/>
      <c r="D772" s="7"/>
      <c r="E772" s="7"/>
      <c r="F772" s="7"/>
    </row>
    <row r="773" ht="15.75" customHeight="1">
      <c r="C773" s="7"/>
      <c r="D773" s="7"/>
      <c r="E773" s="7"/>
      <c r="F773" s="7"/>
    </row>
    <row r="774" ht="15.75" customHeight="1">
      <c r="C774" s="7"/>
      <c r="D774" s="7"/>
      <c r="E774" s="7"/>
      <c r="F774" s="7"/>
    </row>
    <row r="775" ht="15.75" customHeight="1">
      <c r="C775" s="7"/>
      <c r="D775" s="7"/>
      <c r="E775" s="7"/>
      <c r="F775" s="7"/>
    </row>
    <row r="776" ht="15.75" customHeight="1">
      <c r="C776" s="7"/>
      <c r="D776" s="7"/>
      <c r="E776" s="7"/>
      <c r="F776" s="7"/>
    </row>
    <row r="777" ht="15.75" customHeight="1">
      <c r="C777" s="7"/>
      <c r="D777" s="7"/>
      <c r="E777" s="7"/>
      <c r="F777" s="7"/>
    </row>
    <row r="778" ht="15.75" customHeight="1">
      <c r="C778" s="7"/>
      <c r="D778" s="7"/>
      <c r="E778" s="7"/>
      <c r="F778" s="7"/>
    </row>
    <row r="779" ht="15.75" customHeight="1">
      <c r="C779" s="7"/>
      <c r="D779" s="7"/>
      <c r="E779" s="7"/>
      <c r="F779" s="7"/>
    </row>
    <row r="780" ht="15.75" customHeight="1">
      <c r="C780" s="7"/>
      <c r="D780" s="7"/>
      <c r="E780" s="7"/>
      <c r="F780" s="7"/>
    </row>
    <row r="781" ht="15.75" customHeight="1">
      <c r="C781" s="7"/>
      <c r="D781" s="7"/>
      <c r="E781" s="7"/>
      <c r="F781" s="7"/>
    </row>
    <row r="782" ht="15.75" customHeight="1">
      <c r="C782" s="7"/>
      <c r="D782" s="7"/>
      <c r="E782" s="7"/>
      <c r="F782" s="7"/>
    </row>
    <row r="783" ht="15.75" customHeight="1">
      <c r="C783" s="7"/>
      <c r="D783" s="7"/>
      <c r="E783" s="7"/>
      <c r="F783" s="7"/>
    </row>
    <row r="784" ht="15.75" customHeight="1">
      <c r="C784" s="7"/>
      <c r="D784" s="7"/>
      <c r="E784" s="7"/>
      <c r="F784" s="7"/>
    </row>
    <row r="785" ht="15.75" customHeight="1">
      <c r="C785" s="7"/>
      <c r="D785" s="7"/>
      <c r="E785" s="7"/>
      <c r="F785" s="7"/>
    </row>
    <row r="786" ht="15.75" customHeight="1">
      <c r="C786" s="7"/>
      <c r="D786" s="7"/>
      <c r="E786" s="7"/>
      <c r="F786" s="7"/>
    </row>
    <row r="787" ht="15.75" customHeight="1">
      <c r="C787" s="7"/>
      <c r="D787" s="7"/>
      <c r="E787" s="7"/>
      <c r="F787" s="7"/>
    </row>
    <row r="788" ht="15.75" customHeight="1">
      <c r="C788" s="7"/>
      <c r="D788" s="7"/>
      <c r="E788" s="7"/>
      <c r="F788" s="7"/>
    </row>
    <row r="789" ht="15.75" customHeight="1">
      <c r="C789" s="7"/>
      <c r="D789" s="7"/>
      <c r="E789" s="7"/>
      <c r="F789" s="7"/>
    </row>
    <row r="790" ht="15.75" customHeight="1">
      <c r="C790" s="7"/>
      <c r="D790" s="7"/>
      <c r="E790" s="7"/>
      <c r="F790" s="7"/>
    </row>
    <row r="791" ht="15.75" customHeight="1">
      <c r="C791" s="7"/>
      <c r="D791" s="7"/>
      <c r="E791" s="7"/>
      <c r="F791" s="7"/>
    </row>
    <row r="792" ht="15.75" customHeight="1">
      <c r="C792" s="7"/>
      <c r="D792" s="7"/>
      <c r="E792" s="7"/>
      <c r="F792" s="7"/>
    </row>
    <row r="793" ht="15.75" customHeight="1">
      <c r="C793" s="7"/>
      <c r="D793" s="7"/>
      <c r="E793" s="7"/>
      <c r="F793" s="7"/>
    </row>
    <row r="794" ht="15.75" customHeight="1">
      <c r="C794" s="7"/>
      <c r="D794" s="7"/>
      <c r="E794" s="7"/>
      <c r="F794" s="7"/>
    </row>
    <row r="795" ht="15.75" customHeight="1">
      <c r="C795" s="7"/>
      <c r="D795" s="7"/>
      <c r="E795" s="7"/>
      <c r="F795" s="7"/>
    </row>
    <row r="796" ht="15.75" customHeight="1">
      <c r="C796" s="7"/>
      <c r="D796" s="7"/>
      <c r="E796" s="7"/>
      <c r="F796" s="7"/>
    </row>
    <row r="797" ht="15.75" customHeight="1">
      <c r="C797" s="7"/>
      <c r="D797" s="7"/>
      <c r="E797" s="7"/>
      <c r="F797" s="7"/>
    </row>
    <row r="798" ht="15.75" customHeight="1">
      <c r="C798" s="7"/>
      <c r="D798" s="7"/>
      <c r="E798" s="7"/>
      <c r="F798" s="7"/>
    </row>
    <row r="799" ht="15.75" customHeight="1">
      <c r="C799" s="7"/>
      <c r="D799" s="7"/>
      <c r="E799" s="7"/>
      <c r="F799" s="7"/>
    </row>
    <row r="800" ht="15.75" customHeight="1">
      <c r="C800" s="7"/>
      <c r="D800" s="7"/>
      <c r="E800" s="7"/>
      <c r="F800" s="7"/>
    </row>
    <row r="801" ht="15.75" customHeight="1">
      <c r="C801" s="7"/>
      <c r="D801" s="7"/>
      <c r="E801" s="7"/>
      <c r="F801" s="7"/>
    </row>
    <row r="802" ht="15.75" customHeight="1">
      <c r="C802" s="7"/>
      <c r="D802" s="7"/>
      <c r="E802" s="7"/>
      <c r="F802" s="7"/>
    </row>
    <row r="803" ht="15.75" customHeight="1">
      <c r="C803" s="7"/>
      <c r="D803" s="7"/>
      <c r="E803" s="7"/>
      <c r="F803" s="7"/>
    </row>
    <row r="804" ht="15.75" customHeight="1">
      <c r="C804" s="7"/>
      <c r="D804" s="7"/>
      <c r="E804" s="7"/>
      <c r="F804" s="7"/>
    </row>
    <row r="805" ht="15.75" customHeight="1">
      <c r="C805" s="7"/>
      <c r="D805" s="7"/>
      <c r="E805" s="7"/>
      <c r="F805" s="7"/>
    </row>
    <row r="806" ht="15.75" customHeight="1">
      <c r="C806" s="7"/>
      <c r="D806" s="7"/>
      <c r="E806" s="7"/>
      <c r="F806" s="7"/>
    </row>
    <row r="807" ht="15.75" customHeight="1">
      <c r="C807" s="7"/>
      <c r="D807" s="7"/>
      <c r="E807" s="7"/>
      <c r="F807" s="7"/>
    </row>
    <row r="808" ht="15.75" customHeight="1">
      <c r="C808" s="7"/>
      <c r="D808" s="7"/>
      <c r="E808" s="7"/>
      <c r="F808" s="7"/>
    </row>
    <row r="809" ht="15.75" customHeight="1">
      <c r="C809" s="7"/>
      <c r="D809" s="7"/>
      <c r="E809" s="7"/>
      <c r="F809" s="7"/>
    </row>
    <row r="810" ht="15.75" customHeight="1">
      <c r="C810" s="7"/>
      <c r="D810" s="7"/>
      <c r="E810" s="7"/>
      <c r="F810" s="7"/>
    </row>
    <row r="811" ht="15.75" customHeight="1">
      <c r="C811" s="7"/>
      <c r="D811" s="7"/>
      <c r="E811" s="7"/>
      <c r="F811" s="7"/>
    </row>
    <row r="812" ht="15.75" customHeight="1">
      <c r="C812" s="7"/>
      <c r="D812" s="7"/>
      <c r="E812" s="7"/>
      <c r="F812" s="7"/>
    </row>
    <row r="813" ht="15.75" customHeight="1">
      <c r="C813" s="7"/>
      <c r="D813" s="7"/>
      <c r="E813" s="7"/>
      <c r="F813" s="7"/>
    </row>
    <row r="814" ht="15.75" customHeight="1">
      <c r="C814" s="7"/>
      <c r="D814" s="7"/>
      <c r="E814" s="7"/>
      <c r="F814" s="7"/>
    </row>
    <row r="815" ht="15.75" customHeight="1">
      <c r="C815" s="7"/>
      <c r="D815" s="7"/>
      <c r="E815" s="7"/>
      <c r="F815" s="7"/>
    </row>
    <row r="816" ht="15.75" customHeight="1">
      <c r="C816" s="7"/>
      <c r="D816" s="7"/>
      <c r="E816" s="7"/>
      <c r="F816" s="7"/>
    </row>
    <row r="817" ht="15.75" customHeight="1">
      <c r="C817" s="7"/>
      <c r="D817" s="7"/>
      <c r="E817" s="7"/>
      <c r="F817" s="7"/>
    </row>
    <row r="818" ht="15.75" customHeight="1">
      <c r="C818" s="7"/>
      <c r="D818" s="7"/>
      <c r="E818" s="7"/>
      <c r="F818" s="7"/>
    </row>
    <row r="819" ht="15.75" customHeight="1">
      <c r="C819" s="7"/>
      <c r="D819" s="7"/>
      <c r="E819" s="7"/>
      <c r="F819" s="7"/>
    </row>
    <row r="820" ht="15.75" customHeight="1">
      <c r="C820" s="7"/>
      <c r="D820" s="7"/>
      <c r="E820" s="7"/>
      <c r="F820" s="7"/>
    </row>
    <row r="821" ht="15.75" customHeight="1">
      <c r="C821" s="7"/>
      <c r="D821" s="7"/>
      <c r="E821" s="7"/>
      <c r="F821" s="7"/>
    </row>
    <row r="822" ht="15.75" customHeight="1">
      <c r="C822" s="7"/>
      <c r="D822" s="7"/>
      <c r="E822" s="7"/>
      <c r="F822" s="7"/>
    </row>
    <row r="823" ht="15.75" customHeight="1">
      <c r="C823" s="7"/>
      <c r="D823" s="7"/>
      <c r="E823" s="7"/>
      <c r="F823" s="7"/>
    </row>
    <row r="824" ht="15.75" customHeight="1">
      <c r="C824" s="7"/>
      <c r="D824" s="7"/>
      <c r="E824" s="7"/>
      <c r="F824" s="7"/>
    </row>
    <row r="825" ht="15.75" customHeight="1">
      <c r="C825" s="7"/>
      <c r="D825" s="7"/>
      <c r="E825" s="7"/>
      <c r="F825" s="7"/>
    </row>
    <row r="826" ht="15.75" customHeight="1">
      <c r="C826" s="7"/>
      <c r="D826" s="7"/>
      <c r="E826" s="7"/>
      <c r="F826" s="7"/>
    </row>
    <row r="827" ht="15.75" customHeight="1">
      <c r="C827" s="7"/>
      <c r="D827" s="7"/>
      <c r="E827" s="7"/>
      <c r="F827" s="7"/>
    </row>
    <row r="828" ht="15.75" customHeight="1">
      <c r="C828" s="7"/>
      <c r="D828" s="7"/>
      <c r="E828" s="7"/>
      <c r="F828" s="7"/>
    </row>
    <row r="829" ht="15.75" customHeight="1">
      <c r="C829" s="7"/>
      <c r="D829" s="7"/>
      <c r="E829" s="7"/>
      <c r="F829" s="7"/>
    </row>
    <row r="830" ht="15.75" customHeight="1">
      <c r="C830" s="7"/>
      <c r="D830" s="7"/>
      <c r="E830" s="7"/>
      <c r="F830" s="7"/>
    </row>
    <row r="831" ht="15.75" customHeight="1">
      <c r="C831" s="7"/>
      <c r="D831" s="7"/>
      <c r="E831" s="7"/>
      <c r="F831" s="7"/>
    </row>
    <row r="832" ht="15.75" customHeight="1">
      <c r="C832" s="7"/>
      <c r="D832" s="7"/>
      <c r="E832" s="7"/>
      <c r="F832" s="7"/>
    </row>
    <row r="833" ht="15.75" customHeight="1">
      <c r="C833" s="7"/>
      <c r="D833" s="7"/>
      <c r="E833" s="7"/>
      <c r="F833" s="7"/>
    </row>
    <row r="834" ht="15.75" customHeight="1">
      <c r="C834" s="7"/>
      <c r="D834" s="7"/>
      <c r="E834" s="7"/>
      <c r="F834" s="7"/>
    </row>
    <row r="835" ht="15.75" customHeight="1">
      <c r="C835" s="7"/>
      <c r="D835" s="7"/>
      <c r="E835" s="7"/>
      <c r="F835" s="7"/>
    </row>
    <row r="836" ht="15.75" customHeight="1">
      <c r="C836" s="7"/>
      <c r="D836" s="7"/>
      <c r="E836" s="7"/>
      <c r="F836" s="7"/>
    </row>
    <row r="837" ht="15.75" customHeight="1">
      <c r="C837" s="7"/>
      <c r="D837" s="7"/>
      <c r="E837" s="7"/>
      <c r="F837" s="7"/>
    </row>
    <row r="838" ht="15.75" customHeight="1">
      <c r="C838" s="7"/>
      <c r="D838" s="7"/>
      <c r="E838" s="7"/>
      <c r="F838" s="7"/>
    </row>
    <row r="839" ht="15.75" customHeight="1">
      <c r="C839" s="7"/>
      <c r="D839" s="7"/>
      <c r="E839" s="7"/>
      <c r="F839" s="7"/>
    </row>
    <row r="840" ht="15.75" customHeight="1">
      <c r="C840" s="7"/>
      <c r="D840" s="7"/>
      <c r="E840" s="7"/>
      <c r="F840" s="7"/>
    </row>
    <row r="841" ht="15.75" customHeight="1">
      <c r="C841" s="7"/>
      <c r="D841" s="7"/>
      <c r="E841" s="7"/>
      <c r="F841" s="7"/>
    </row>
    <row r="842" ht="15.75" customHeight="1">
      <c r="C842" s="7"/>
      <c r="D842" s="7"/>
      <c r="E842" s="7"/>
      <c r="F842" s="7"/>
    </row>
    <row r="843" ht="15.75" customHeight="1">
      <c r="C843" s="7"/>
      <c r="D843" s="7"/>
      <c r="E843" s="7"/>
      <c r="F843" s="7"/>
    </row>
    <row r="844" ht="15.75" customHeight="1">
      <c r="C844" s="7"/>
      <c r="D844" s="7"/>
      <c r="E844" s="7"/>
      <c r="F844" s="7"/>
    </row>
    <row r="845" ht="15.75" customHeight="1">
      <c r="C845" s="7"/>
      <c r="D845" s="7"/>
      <c r="E845" s="7"/>
      <c r="F845" s="7"/>
    </row>
    <row r="846" ht="15.75" customHeight="1">
      <c r="C846" s="7"/>
      <c r="D846" s="7"/>
      <c r="E846" s="7"/>
      <c r="F846" s="7"/>
    </row>
    <row r="847" ht="15.75" customHeight="1">
      <c r="C847" s="7"/>
      <c r="D847" s="7"/>
      <c r="E847" s="7"/>
      <c r="F847" s="7"/>
    </row>
    <row r="848" ht="15.75" customHeight="1">
      <c r="C848" s="7"/>
      <c r="D848" s="7"/>
      <c r="E848" s="7"/>
      <c r="F848" s="7"/>
    </row>
    <row r="849" ht="15.75" customHeight="1">
      <c r="C849" s="7"/>
      <c r="D849" s="7"/>
      <c r="E849" s="7"/>
      <c r="F849" s="7"/>
    </row>
    <row r="850" ht="15.75" customHeight="1">
      <c r="C850" s="7"/>
      <c r="D850" s="7"/>
      <c r="E850" s="7"/>
      <c r="F850" s="7"/>
    </row>
    <row r="851" ht="15.75" customHeight="1">
      <c r="C851" s="7"/>
      <c r="D851" s="7"/>
      <c r="E851" s="7"/>
      <c r="F851" s="7"/>
    </row>
    <row r="852" ht="15.75" customHeight="1">
      <c r="C852" s="7"/>
      <c r="D852" s="7"/>
      <c r="E852" s="7"/>
      <c r="F852" s="7"/>
    </row>
    <row r="853" ht="15.75" customHeight="1">
      <c r="C853" s="7"/>
      <c r="D853" s="7"/>
      <c r="E853" s="7"/>
      <c r="F853" s="7"/>
    </row>
    <row r="854" ht="15.75" customHeight="1">
      <c r="C854" s="7"/>
      <c r="D854" s="7"/>
      <c r="E854" s="7"/>
      <c r="F854" s="7"/>
    </row>
    <row r="855" ht="15.75" customHeight="1">
      <c r="C855" s="7"/>
      <c r="D855" s="7"/>
      <c r="E855" s="7"/>
      <c r="F855" s="7"/>
    </row>
    <row r="856" ht="15.75" customHeight="1">
      <c r="C856" s="7"/>
      <c r="D856" s="7"/>
      <c r="E856" s="7"/>
      <c r="F856" s="7"/>
    </row>
    <row r="857" ht="15.75" customHeight="1">
      <c r="C857" s="7"/>
      <c r="D857" s="7"/>
      <c r="E857" s="7"/>
      <c r="F857" s="7"/>
    </row>
    <row r="858" ht="15.75" customHeight="1">
      <c r="C858" s="7"/>
      <c r="D858" s="7"/>
      <c r="E858" s="7"/>
      <c r="F858" s="7"/>
    </row>
    <row r="859" ht="15.75" customHeight="1">
      <c r="C859" s="7"/>
      <c r="D859" s="7"/>
      <c r="E859" s="7"/>
      <c r="F859" s="7"/>
    </row>
    <row r="860" ht="15.75" customHeight="1">
      <c r="C860" s="7"/>
      <c r="D860" s="7"/>
      <c r="E860" s="7"/>
      <c r="F860" s="7"/>
    </row>
    <row r="861" ht="15.75" customHeight="1">
      <c r="C861" s="7"/>
      <c r="D861" s="7"/>
      <c r="E861" s="7"/>
      <c r="F861" s="7"/>
    </row>
    <row r="862" ht="15.75" customHeight="1">
      <c r="C862" s="7"/>
      <c r="D862" s="7"/>
      <c r="E862" s="7"/>
      <c r="F862" s="7"/>
    </row>
    <row r="863" ht="15.75" customHeight="1">
      <c r="C863" s="7"/>
      <c r="D863" s="7"/>
      <c r="E863" s="7"/>
      <c r="F863" s="7"/>
    </row>
    <row r="864" ht="15.75" customHeight="1">
      <c r="C864" s="7"/>
      <c r="D864" s="7"/>
      <c r="E864" s="7"/>
      <c r="F864" s="7"/>
    </row>
    <row r="865" ht="15.75" customHeight="1">
      <c r="C865" s="7"/>
      <c r="D865" s="7"/>
      <c r="E865" s="7"/>
      <c r="F865" s="7"/>
    </row>
    <row r="866" ht="15.75" customHeight="1">
      <c r="C866" s="7"/>
      <c r="D866" s="7"/>
      <c r="E866" s="7"/>
      <c r="F866" s="7"/>
    </row>
    <row r="867" ht="15.75" customHeight="1">
      <c r="C867" s="7"/>
      <c r="D867" s="7"/>
      <c r="E867" s="7"/>
      <c r="F867" s="7"/>
    </row>
    <row r="868" ht="15.75" customHeight="1">
      <c r="C868" s="7"/>
      <c r="D868" s="7"/>
      <c r="E868" s="7"/>
      <c r="F868" s="7"/>
    </row>
    <row r="869" ht="15.75" customHeight="1">
      <c r="C869" s="7"/>
      <c r="D869" s="7"/>
      <c r="E869" s="7"/>
      <c r="F869" s="7"/>
    </row>
    <row r="870" ht="15.75" customHeight="1">
      <c r="C870" s="7"/>
      <c r="D870" s="7"/>
      <c r="E870" s="7"/>
      <c r="F870" s="7"/>
    </row>
    <row r="871" ht="15.75" customHeight="1">
      <c r="C871" s="7"/>
      <c r="D871" s="7"/>
      <c r="E871" s="7"/>
      <c r="F871" s="7"/>
    </row>
    <row r="872" ht="15.75" customHeight="1">
      <c r="C872" s="7"/>
      <c r="D872" s="7"/>
      <c r="E872" s="7"/>
      <c r="F872" s="7"/>
    </row>
    <row r="873" ht="15.75" customHeight="1">
      <c r="C873" s="7"/>
      <c r="D873" s="7"/>
      <c r="E873" s="7"/>
      <c r="F873" s="7"/>
    </row>
    <row r="874" ht="15.75" customHeight="1">
      <c r="C874" s="7"/>
      <c r="D874" s="7"/>
      <c r="E874" s="7"/>
      <c r="F874" s="7"/>
    </row>
    <row r="875" ht="15.75" customHeight="1">
      <c r="C875" s="7"/>
      <c r="D875" s="7"/>
      <c r="E875" s="7"/>
      <c r="F875" s="7"/>
    </row>
    <row r="876" ht="15.75" customHeight="1">
      <c r="C876" s="7"/>
      <c r="D876" s="7"/>
      <c r="E876" s="7"/>
      <c r="F876" s="7"/>
    </row>
    <row r="877" ht="15.75" customHeight="1">
      <c r="C877" s="7"/>
      <c r="D877" s="7"/>
      <c r="E877" s="7"/>
      <c r="F877" s="7"/>
    </row>
    <row r="878" ht="15.75" customHeight="1">
      <c r="C878" s="7"/>
      <c r="D878" s="7"/>
      <c r="E878" s="7"/>
      <c r="F878" s="7"/>
    </row>
    <row r="879" ht="15.75" customHeight="1">
      <c r="C879" s="7"/>
      <c r="D879" s="7"/>
      <c r="E879" s="7"/>
      <c r="F879" s="7"/>
    </row>
    <row r="880" ht="15.75" customHeight="1">
      <c r="C880" s="7"/>
      <c r="D880" s="7"/>
      <c r="E880" s="7"/>
      <c r="F880" s="7"/>
    </row>
    <row r="881" ht="15.75" customHeight="1">
      <c r="C881" s="7"/>
      <c r="D881" s="7"/>
      <c r="E881" s="7"/>
      <c r="F881" s="7"/>
    </row>
    <row r="882" ht="15.75" customHeight="1">
      <c r="C882" s="7"/>
      <c r="D882" s="7"/>
      <c r="E882" s="7"/>
      <c r="F882" s="7"/>
    </row>
    <row r="883" ht="15.75" customHeight="1">
      <c r="C883" s="7"/>
      <c r="D883" s="7"/>
      <c r="E883" s="7"/>
      <c r="F883" s="7"/>
    </row>
    <row r="884" ht="15.75" customHeight="1">
      <c r="C884" s="7"/>
      <c r="D884" s="7"/>
      <c r="E884" s="7"/>
      <c r="F884" s="7"/>
    </row>
    <row r="885" ht="15.75" customHeight="1">
      <c r="C885" s="7"/>
      <c r="D885" s="7"/>
      <c r="E885" s="7"/>
      <c r="F885" s="7"/>
    </row>
    <row r="886" ht="15.75" customHeight="1">
      <c r="C886" s="7"/>
      <c r="D886" s="7"/>
      <c r="E886" s="7"/>
      <c r="F886" s="7"/>
    </row>
    <row r="887" ht="15.75" customHeight="1">
      <c r="C887" s="7"/>
      <c r="D887" s="7"/>
      <c r="E887" s="7"/>
      <c r="F887" s="7"/>
    </row>
    <row r="888" ht="15.75" customHeight="1">
      <c r="C888" s="7"/>
      <c r="D888" s="7"/>
      <c r="E888" s="7"/>
      <c r="F888" s="7"/>
    </row>
    <row r="889" ht="15.75" customHeight="1">
      <c r="C889" s="7"/>
      <c r="D889" s="7"/>
      <c r="E889" s="7"/>
      <c r="F889" s="7"/>
    </row>
    <row r="890" ht="15.75" customHeight="1">
      <c r="C890" s="7"/>
      <c r="D890" s="7"/>
      <c r="E890" s="7"/>
      <c r="F890" s="7"/>
    </row>
    <row r="891" ht="15.75" customHeight="1">
      <c r="C891" s="7"/>
      <c r="D891" s="7"/>
      <c r="E891" s="7"/>
      <c r="F891" s="7"/>
    </row>
    <row r="892" ht="15.75" customHeight="1">
      <c r="C892" s="7"/>
      <c r="D892" s="7"/>
      <c r="E892" s="7"/>
      <c r="F892" s="7"/>
    </row>
    <row r="893" ht="15.75" customHeight="1">
      <c r="C893" s="7"/>
      <c r="D893" s="7"/>
      <c r="E893" s="7"/>
      <c r="F893" s="7"/>
    </row>
    <row r="894" ht="15.75" customHeight="1">
      <c r="C894" s="7"/>
      <c r="D894" s="7"/>
      <c r="E894" s="7"/>
      <c r="F894" s="7"/>
    </row>
    <row r="895" ht="15.75" customHeight="1">
      <c r="C895" s="7"/>
      <c r="D895" s="7"/>
      <c r="E895" s="7"/>
      <c r="F895" s="7"/>
    </row>
    <row r="896" ht="15.75" customHeight="1">
      <c r="C896" s="7"/>
      <c r="D896" s="7"/>
      <c r="E896" s="7"/>
      <c r="F896" s="7"/>
    </row>
    <row r="897" ht="15.75" customHeight="1">
      <c r="C897" s="7"/>
      <c r="D897" s="7"/>
      <c r="E897" s="7"/>
      <c r="F897" s="7"/>
    </row>
    <row r="898" ht="15.75" customHeight="1">
      <c r="C898" s="7"/>
      <c r="D898" s="7"/>
      <c r="E898" s="7"/>
      <c r="F898" s="7"/>
    </row>
    <row r="899" ht="15.75" customHeight="1">
      <c r="C899" s="7"/>
      <c r="D899" s="7"/>
      <c r="E899" s="7"/>
      <c r="F899" s="7"/>
    </row>
    <row r="900" ht="15.75" customHeight="1">
      <c r="C900" s="7"/>
      <c r="D900" s="7"/>
      <c r="E900" s="7"/>
      <c r="F900" s="7"/>
    </row>
    <row r="901" ht="15.75" customHeight="1">
      <c r="C901" s="7"/>
      <c r="D901" s="7"/>
      <c r="E901" s="7"/>
      <c r="F901" s="7"/>
    </row>
    <row r="902" ht="15.75" customHeight="1">
      <c r="C902" s="7"/>
      <c r="D902" s="7"/>
      <c r="E902" s="7"/>
      <c r="F902" s="7"/>
    </row>
    <row r="903" ht="15.75" customHeight="1">
      <c r="C903" s="7"/>
      <c r="D903" s="7"/>
      <c r="E903" s="7"/>
      <c r="F903" s="7"/>
    </row>
    <row r="904" ht="15.75" customHeight="1">
      <c r="C904" s="7"/>
      <c r="D904" s="7"/>
      <c r="E904" s="7"/>
      <c r="F904" s="7"/>
    </row>
    <row r="905" ht="15.75" customHeight="1">
      <c r="C905" s="7"/>
      <c r="D905" s="7"/>
      <c r="E905" s="7"/>
      <c r="F905" s="7"/>
    </row>
    <row r="906" ht="15.75" customHeight="1">
      <c r="C906" s="7"/>
      <c r="D906" s="7"/>
      <c r="E906" s="7"/>
      <c r="F906" s="7"/>
    </row>
    <row r="907" ht="15.75" customHeight="1">
      <c r="C907" s="7"/>
      <c r="D907" s="7"/>
      <c r="E907" s="7"/>
      <c r="F907" s="7"/>
    </row>
    <row r="908" ht="15.75" customHeight="1">
      <c r="C908" s="7"/>
      <c r="D908" s="7"/>
      <c r="E908" s="7"/>
      <c r="F908" s="7"/>
    </row>
    <row r="909" ht="15.75" customHeight="1">
      <c r="C909" s="7"/>
      <c r="D909" s="7"/>
      <c r="E909" s="7"/>
      <c r="F909" s="7"/>
    </row>
    <row r="910" ht="15.75" customHeight="1">
      <c r="C910" s="7"/>
      <c r="D910" s="7"/>
      <c r="E910" s="7"/>
      <c r="F910" s="7"/>
    </row>
    <row r="911" ht="15.75" customHeight="1">
      <c r="C911" s="7"/>
      <c r="D911" s="7"/>
      <c r="E911" s="7"/>
      <c r="F911" s="7"/>
    </row>
    <row r="912" ht="15.75" customHeight="1">
      <c r="C912" s="7"/>
      <c r="D912" s="7"/>
      <c r="E912" s="7"/>
      <c r="F912" s="7"/>
    </row>
    <row r="913" ht="15.75" customHeight="1">
      <c r="C913" s="7"/>
      <c r="D913" s="7"/>
      <c r="E913" s="7"/>
      <c r="F913" s="7"/>
    </row>
    <row r="914" ht="15.75" customHeight="1">
      <c r="C914" s="7"/>
      <c r="D914" s="7"/>
      <c r="E914" s="7"/>
      <c r="F914" s="7"/>
    </row>
    <row r="915" ht="15.75" customHeight="1">
      <c r="C915" s="7"/>
      <c r="D915" s="7"/>
      <c r="E915" s="7"/>
      <c r="F915" s="7"/>
    </row>
    <row r="916" ht="15.75" customHeight="1">
      <c r="C916" s="7"/>
      <c r="D916" s="7"/>
      <c r="E916" s="7"/>
      <c r="F916" s="7"/>
    </row>
    <row r="917" ht="15.75" customHeight="1">
      <c r="C917" s="7"/>
      <c r="D917" s="7"/>
      <c r="E917" s="7"/>
      <c r="F917" s="7"/>
    </row>
    <row r="918" ht="15.75" customHeight="1">
      <c r="C918" s="7"/>
      <c r="D918" s="7"/>
      <c r="E918" s="7"/>
      <c r="F918" s="7"/>
    </row>
    <row r="919" ht="15.75" customHeight="1">
      <c r="C919" s="7"/>
      <c r="D919" s="7"/>
      <c r="E919" s="7"/>
      <c r="F919" s="7"/>
    </row>
    <row r="920" ht="15.75" customHeight="1">
      <c r="C920" s="7"/>
      <c r="D920" s="7"/>
      <c r="E920" s="7"/>
      <c r="F920" s="7"/>
    </row>
    <row r="921" ht="15.75" customHeight="1">
      <c r="C921" s="7"/>
      <c r="D921" s="7"/>
      <c r="E921" s="7"/>
      <c r="F921" s="7"/>
    </row>
    <row r="922" ht="15.75" customHeight="1">
      <c r="C922" s="7"/>
      <c r="D922" s="7"/>
      <c r="E922" s="7"/>
      <c r="F922" s="7"/>
    </row>
    <row r="923" ht="15.75" customHeight="1">
      <c r="C923" s="7"/>
      <c r="D923" s="7"/>
      <c r="E923" s="7"/>
      <c r="F923" s="7"/>
    </row>
    <row r="924" ht="15.75" customHeight="1">
      <c r="C924" s="7"/>
      <c r="D924" s="7"/>
      <c r="E924" s="7"/>
      <c r="F924" s="7"/>
    </row>
    <row r="925" ht="15.75" customHeight="1">
      <c r="C925" s="7"/>
      <c r="D925" s="7"/>
      <c r="E925" s="7"/>
      <c r="F925" s="7"/>
    </row>
    <row r="926" ht="15.75" customHeight="1">
      <c r="C926" s="7"/>
      <c r="D926" s="7"/>
      <c r="E926" s="7"/>
      <c r="F926" s="7"/>
    </row>
    <row r="927" ht="15.75" customHeight="1">
      <c r="C927" s="7"/>
      <c r="D927" s="7"/>
      <c r="E927" s="7"/>
      <c r="F927" s="7"/>
    </row>
    <row r="928" ht="15.75" customHeight="1">
      <c r="C928" s="7"/>
      <c r="D928" s="7"/>
      <c r="E928" s="7"/>
      <c r="F928" s="7"/>
    </row>
    <row r="929" ht="15.75" customHeight="1">
      <c r="C929" s="7"/>
      <c r="D929" s="7"/>
      <c r="E929" s="7"/>
      <c r="F929" s="7"/>
    </row>
    <row r="930" ht="15.75" customHeight="1">
      <c r="C930" s="7"/>
      <c r="D930" s="7"/>
      <c r="E930" s="7"/>
      <c r="F930" s="7"/>
    </row>
    <row r="931" ht="15.75" customHeight="1">
      <c r="C931" s="7"/>
      <c r="D931" s="7"/>
      <c r="E931" s="7"/>
      <c r="F931" s="7"/>
    </row>
    <row r="932" ht="15.75" customHeight="1">
      <c r="C932" s="7"/>
      <c r="D932" s="7"/>
      <c r="E932" s="7"/>
      <c r="F932" s="7"/>
    </row>
    <row r="933" ht="15.75" customHeight="1">
      <c r="C933" s="7"/>
      <c r="D933" s="7"/>
      <c r="E933" s="7"/>
      <c r="F933" s="7"/>
    </row>
    <row r="934" ht="15.75" customHeight="1">
      <c r="C934" s="7"/>
      <c r="D934" s="7"/>
      <c r="E934" s="7"/>
      <c r="F934" s="7"/>
    </row>
    <row r="935" ht="15.75" customHeight="1">
      <c r="C935" s="7"/>
      <c r="D935" s="7"/>
      <c r="E935" s="7"/>
      <c r="F935" s="7"/>
    </row>
    <row r="936" ht="15.75" customHeight="1">
      <c r="C936" s="7"/>
      <c r="D936" s="7"/>
      <c r="E936" s="7"/>
      <c r="F936" s="7"/>
    </row>
    <row r="937" ht="15.75" customHeight="1">
      <c r="C937" s="7"/>
      <c r="D937" s="7"/>
      <c r="E937" s="7"/>
      <c r="F937" s="7"/>
    </row>
    <row r="938" ht="15.75" customHeight="1">
      <c r="C938" s="7"/>
      <c r="D938" s="7"/>
      <c r="E938" s="7"/>
      <c r="F938" s="7"/>
    </row>
    <row r="939" ht="15.75" customHeight="1">
      <c r="C939" s="7"/>
      <c r="D939" s="7"/>
      <c r="E939" s="7"/>
      <c r="F939" s="7"/>
    </row>
    <row r="940" ht="15.75" customHeight="1">
      <c r="C940" s="7"/>
      <c r="D940" s="7"/>
      <c r="E940" s="7"/>
      <c r="F940" s="7"/>
    </row>
    <row r="941" ht="15.75" customHeight="1">
      <c r="C941" s="7"/>
      <c r="D941" s="7"/>
      <c r="E941" s="7"/>
      <c r="F941" s="7"/>
    </row>
    <row r="942" ht="15.75" customHeight="1">
      <c r="C942" s="7"/>
      <c r="D942" s="7"/>
      <c r="E942" s="7"/>
      <c r="F942" s="7"/>
    </row>
    <row r="943" ht="15.75" customHeight="1">
      <c r="C943" s="7"/>
      <c r="D943" s="7"/>
      <c r="E943" s="7"/>
      <c r="F943" s="7"/>
    </row>
    <row r="944" ht="15.75" customHeight="1">
      <c r="C944" s="7"/>
      <c r="D944" s="7"/>
      <c r="E944" s="7"/>
      <c r="F944" s="7"/>
    </row>
    <row r="945" ht="15.75" customHeight="1">
      <c r="C945" s="7"/>
      <c r="D945" s="7"/>
      <c r="E945" s="7"/>
      <c r="F945" s="7"/>
    </row>
    <row r="946" ht="15.75" customHeight="1">
      <c r="C946" s="7"/>
      <c r="D946" s="7"/>
      <c r="E946" s="7"/>
      <c r="F946" s="7"/>
    </row>
    <row r="947" ht="15.75" customHeight="1">
      <c r="C947" s="7"/>
      <c r="D947" s="7"/>
      <c r="E947" s="7"/>
      <c r="F947" s="7"/>
    </row>
    <row r="948" ht="15.75" customHeight="1">
      <c r="C948" s="7"/>
      <c r="D948" s="7"/>
      <c r="E948" s="7"/>
      <c r="F948" s="7"/>
    </row>
    <row r="949" ht="15.75" customHeight="1">
      <c r="C949" s="7"/>
      <c r="D949" s="7"/>
      <c r="E949" s="7"/>
      <c r="F949" s="7"/>
    </row>
    <row r="950" ht="15.75" customHeight="1">
      <c r="C950" s="7"/>
      <c r="D950" s="7"/>
      <c r="E950" s="7"/>
      <c r="F950" s="7"/>
    </row>
    <row r="951" ht="15.75" customHeight="1">
      <c r="C951" s="7"/>
      <c r="D951" s="7"/>
      <c r="E951" s="7"/>
      <c r="F951" s="7"/>
    </row>
    <row r="952" ht="15.75" customHeight="1">
      <c r="C952" s="7"/>
      <c r="D952" s="7"/>
      <c r="E952" s="7"/>
      <c r="F952" s="7"/>
    </row>
    <row r="953" ht="15.75" customHeight="1">
      <c r="C953" s="7"/>
      <c r="D953" s="7"/>
      <c r="E953" s="7"/>
      <c r="F953" s="7"/>
    </row>
    <row r="954" ht="15.75" customHeight="1">
      <c r="C954" s="7"/>
      <c r="D954" s="7"/>
      <c r="E954" s="7"/>
      <c r="F954" s="7"/>
    </row>
    <row r="955" ht="15.75" customHeight="1">
      <c r="C955" s="7"/>
      <c r="D955" s="7"/>
      <c r="E955" s="7"/>
      <c r="F955" s="7"/>
    </row>
    <row r="956" ht="15.75" customHeight="1">
      <c r="C956" s="7"/>
      <c r="D956" s="7"/>
      <c r="E956" s="7"/>
      <c r="F956" s="7"/>
    </row>
    <row r="957" ht="15.75" customHeight="1">
      <c r="C957" s="7"/>
      <c r="D957" s="7"/>
      <c r="E957" s="7"/>
      <c r="F957" s="7"/>
    </row>
    <row r="958" ht="15.75" customHeight="1">
      <c r="C958" s="7"/>
      <c r="D958" s="7"/>
      <c r="E958" s="7"/>
      <c r="F958" s="7"/>
    </row>
    <row r="959" ht="15.75" customHeight="1">
      <c r="C959" s="7"/>
      <c r="D959" s="7"/>
      <c r="E959" s="7"/>
      <c r="F959" s="7"/>
    </row>
    <row r="960" ht="15.75" customHeight="1">
      <c r="C960" s="7"/>
      <c r="D960" s="7"/>
      <c r="E960" s="7"/>
      <c r="F960" s="7"/>
    </row>
    <row r="961" ht="15.75" customHeight="1">
      <c r="C961" s="7"/>
      <c r="D961" s="7"/>
      <c r="E961" s="7"/>
      <c r="F961" s="7"/>
    </row>
    <row r="962" ht="15.75" customHeight="1">
      <c r="C962" s="7"/>
      <c r="D962" s="7"/>
      <c r="E962" s="7"/>
      <c r="F962" s="7"/>
    </row>
    <row r="963" ht="15.75" customHeight="1">
      <c r="C963" s="7"/>
      <c r="D963" s="7"/>
      <c r="E963" s="7"/>
      <c r="F963" s="7"/>
    </row>
    <row r="964" ht="15.75" customHeight="1">
      <c r="C964" s="7"/>
      <c r="D964" s="7"/>
      <c r="E964" s="7"/>
      <c r="F964" s="7"/>
    </row>
    <row r="965" ht="15.75" customHeight="1">
      <c r="C965" s="7"/>
      <c r="D965" s="7"/>
      <c r="E965" s="7"/>
      <c r="F965" s="7"/>
    </row>
    <row r="966" ht="15.75" customHeight="1">
      <c r="C966" s="7"/>
      <c r="D966" s="7"/>
      <c r="E966" s="7"/>
      <c r="F966" s="7"/>
    </row>
    <row r="967" ht="15.75" customHeight="1">
      <c r="C967" s="7"/>
      <c r="D967" s="7"/>
      <c r="E967" s="7"/>
      <c r="F967" s="7"/>
    </row>
    <row r="968" ht="15.75" customHeight="1">
      <c r="C968" s="7"/>
      <c r="D968" s="7"/>
      <c r="E968" s="7"/>
      <c r="F968" s="7"/>
    </row>
    <row r="969" ht="15.75" customHeight="1">
      <c r="C969" s="7"/>
      <c r="D969" s="7"/>
      <c r="E969" s="7"/>
      <c r="F969" s="7"/>
    </row>
    <row r="970" ht="15.75" customHeight="1">
      <c r="C970" s="7"/>
      <c r="D970" s="7"/>
      <c r="E970" s="7"/>
      <c r="F970" s="7"/>
    </row>
    <row r="971" ht="15.75" customHeight="1">
      <c r="C971" s="7"/>
      <c r="D971" s="7"/>
      <c r="E971" s="7"/>
      <c r="F971" s="7"/>
    </row>
    <row r="972" ht="15.75" customHeight="1">
      <c r="C972" s="7"/>
      <c r="D972" s="7"/>
      <c r="E972" s="7"/>
      <c r="F972" s="7"/>
    </row>
    <row r="973" ht="15.75" customHeight="1">
      <c r="C973" s="7"/>
      <c r="D973" s="7"/>
      <c r="E973" s="7"/>
      <c r="F973" s="7"/>
    </row>
    <row r="974" ht="15.75" customHeight="1">
      <c r="C974" s="7"/>
      <c r="D974" s="7"/>
      <c r="E974" s="7"/>
      <c r="F974" s="7"/>
    </row>
    <row r="975" ht="15.75" customHeight="1">
      <c r="C975" s="7"/>
      <c r="D975" s="7"/>
      <c r="E975" s="7"/>
      <c r="F975" s="7"/>
    </row>
    <row r="976" ht="15.75" customHeight="1">
      <c r="C976" s="7"/>
      <c r="D976" s="7"/>
      <c r="E976" s="7"/>
      <c r="F976" s="7"/>
    </row>
    <row r="977" ht="15.75" customHeight="1">
      <c r="C977" s="7"/>
      <c r="D977" s="7"/>
      <c r="E977" s="7"/>
      <c r="F977" s="7"/>
    </row>
    <row r="978" ht="15.75" customHeight="1">
      <c r="C978" s="7"/>
      <c r="D978" s="7"/>
      <c r="E978" s="7"/>
      <c r="F978" s="7"/>
    </row>
    <row r="979" ht="15.75" customHeight="1">
      <c r="C979" s="7"/>
      <c r="D979" s="7"/>
      <c r="E979" s="7"/>
      <c r="F979" s="7"/>
    </row>
    <row r="980" ht="15.75" customHeight="1">
      <c r="C980" s="7"/>
      <c r="D980" s="7"/>
      <c r="E980" s="7"/>
      <c r="F980" s="7"/>
    </row>
    <row r="981" ht="15.75" customHeight="1">
      <c r="C981" s="7"/>
      <c r="D981" s="7"/>
      <c r="E981" s="7"/>
      <c r="F981" s="7"/>
    </row>
    <row r="982" ht="15.75" customHeight="1">
      <c r="C982" s="7"/>
      <c r="D982" s="7"/>
      <c r="E982" s="7"/>
      <c r="F982" s="7"/>
    </row>
    <row r="983" ht="15.75" customHeight="1">
      <c r="C983" s="7"/>
      <c r="D983" s="7"/>
      <c r="E983" s="7"/>
      <c r="F983" s="7"/>
    </row>
    <row r="984" ht="15.75" customHeight="1">
      <c r="C984" s="7"/>
      <c r="D984" s="7"/>
      <c r="E984" s="7"/>
      <c r="F984" s="7"/>
    </row>
    <row r="985" ht="15.75" customHeight="1">
      <c r="C985" s="7"/>
      <c r="D985" s="7"/>
      <c r="E985" s="7"/>
      <c r="F985" s="7"/>
    </row>
    <row r="986" ht="15.75" customHeight="1">
      <c r="C986" s="7"/>
      <c r="D986" s="7"/>
      <c r="E986" s="7"/>
      <c r="F986" s="7"/>
    </row>
    <row r="987" ht="15.75" customHeight="1">
      <c r="C987" s="7"/>
      <c r="D987" s="7"/>
      <c r="E987" s="7"/>
      <c r="F987" s="7"/>
    </row>
    <row r="988" ht="15.75" customHeight="1">
      <c r="C988" s="7"/>
      <c r="D988" s="7"/>
      <c r="E988" s="7"/>
      <c r="F988" s="7"/>
    </row>
    <row r="989" ht="15.75" customHeight="1">
      <c r="C989" s="7"/>
      <c r="D989" s="7"/>
      <c r="E989" s="7"/>
      <c r="F989" s="7"/>
    </row>
    <row r="990" ht="15.75" customHeight="1">
      <c r="C990" s="7"/>
      <c r="D990" s="7"/>
      <c r="E990" s="7"/>
      <c r="F990" s="7"/>
    </row>
    <row r="991" ht="15.75" customHeight="1">
      <c r="C991" s="7"/>
      <c r="D991" s="7"/>
      <c r="E991" s="7"/>
      <c r="F991" s="7"/>
    </row>
    <row r="992" ht="15.75" customHeight="1">
      <c r="C992" s="7"/>
      <c r="D992" s="7"/>
      <c r="E992" s="7"/>
      <c r="F992" s="7"/>
    </row>
    <row r="993" ht="15.75" customHeight="1">
      <c r="C993" s="7"/>
      <c r="D993" s="7"/>
      <c r="E993" s="7"/>
      <c r="F993" s="7"/>
    </row>
    <row r="994" ht="15.75" customHeight="1">
      <c r="C994" s="7"/>
      <c r="D994" s="7"/>
      <c r="E994" s="7"/>
      <c r="F994" s="7"/>
    </row>
    <row r="995" ht="15.75" customHeight="1">
      <c r="C995" s="7"/>
      <c r="D995" s="7"/>
      <c r="E995" s="7"/>
      <c r="F995" s="7"/>
    </row>
    <row r="996" ht="15.75" customHeight="1">
      <c r="C996" s="7"/>
      <c r="D996" s="7"/>
      <c r="E996" s="7"/>
      <c r="F996" s="7"/>
    </row>
    <row r="997" ht="15.75" customHeight="1">
      <c r="C997" s="7"/>
      <c r="D997" s="7"/>
      <c r="E997" s="7"/>
      <c r="F997" s="7"/>
    </row>
    <row r="998" ht="15.75" customHeight="1">
      <c r="C998" s="7"/>
      <c r="D998" s="7"/>
      <c r="E998" s="7"/>
      <c r="F998" s="7"/>
    </row>
    <row r="999" ht="15.75" customHeight="1">
      <c r="C999" s="7"/>
      <c r="D999" s="7"/>
      <c r="E999" s="7"/>
      <c r="F999" s="7"/>
    </row>
    <row r="1000" ht="15.75" customHeight="1">
      <c r="C1000" s="7"/>
      <c r="D1000" s="7"/>
      <c r="E1000" s="7"/>
      <c r="F1000" s="7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2"/>
      <c r="B1" s="6" t="s">
        <v>63</v>
      </c>
    </row>
    <row r="2" ht="15.75" customHeight="1">
      <c r="C2" s="7"/>
    </row>
    <row r="3" ht="15.75" customHeight="1">
      <c r="A3" s="74"/>
      <c r="B3" s="5" t="s">
        <v>4</v>
      </c>
      <c r="C3" s="23" t="s">
        <v>64</v>
      </c>
      <c r="G3" s="75"/>
    </row>
    <row r="4" ht="15.75" customHeight="1">
      <c r="A4" s="74"/>
      <c r="B4" s="5" t="s">
        <v>5</v>
      </c>
      <c r="C4" s="76">
        <f t="array" ref="C4">IFERROR(_xlfn.XLOOKUP(TRIM(C3), Competencias_actuales!D15:D1000, Competencias_actuales!C15:C1000), "Código no encontrado")</f>
        <v>103</v>
      </c>
      <c r="E4" s="77"/>
      <c r="F4" s="77"/>
      <c r="G4" s="77"/>
      <c r="H4" s="8" t="str">
        <f>C4&amp;" - "&amp;C3</f>
        <v>103 - Área Matemática Básica 2</v>
      </c>
    </row>
    <row r="5" ht="15.75" customHeight="1">
      <c r="C5" s="7"/>
    </row>
    <row r="6" ht="15.75" customHeight="1">
      <c r="B6" s="36" t="s">
        <v>25</v>
      </c>
      <c r="C6" s="37" t="s">
        <v>19</v>
      </c>
      <c r="D6" s="36" t="s">
        <v>20</v>
      </c>
      <c r="E6" s="36" t="s">
        <v>21</v>
      </c>
      <c r="F6" s="40" t="s">
        <v>29</v>
      </c>
      <c r="G6" s="40" t="s">
        <v>31</v>
      </c>
      <c r="H6" s="40" t="s">
        <v>32</v>
      </c>
    </row>
    <row r="7" ht="15.75" customHeight="1">
      <c r="B7" s="41" t="str">
        <f>IFERROR(__xludf.DUMMYFUNCTION("QUERY(IMPORTRANGE(VLOOKUP(H4,METADA!A:B,2,FALSE), ""Diseño Curricular!A4:G500""), )"),"#N/A")</f>
        <v>#N/A</v>
      </c>
      <c r="C7" s="7"/>
    </row>
    <row r="8" ht="15.75" customHeight="1">
      <c r="C8" s="7"/>
    </row>
    <row r="9" ht="15.75" customHeight="1">
      <c r="C9" s="7"/>
    </row>
    <row r="10" ht="15.75" customHeight="1">
      <c r="C10" s="7"/>
    </row>
    <row r="11" ht="15.75" customHeight="1">
      <c r="C11" s="7"/>
    </row>
    <row r="12" ht="15.75" customHeight="1">
      <c r="C12" s="7"/>
    </row>
    <row r="13" ht="15.75" customHeight="1">
      <c r="C13" s="7"/>
    </row>
    <row r="14" ht="15.75" customHeight="1">
      <c r="C14" s="7"/>
    </row>
    <row r="15" ht="15.75" customHeight="1">
      <c r="C15" s="7"/>
    </row>
    <row r="16" ht="15.75" customHeight="1">
      <c r="C16" s="7"/>
    </row>
    <row r="17" ht="15.75" customHeight="1">
      <c r="C17" s="7"/>
    </row>
    <row r="18" ht="15.75" customHeight="1">
      <c r="C18" s="7"/>
    </row>
    <row r="19" ht="15.75" customHeight="1">
      <c r="C19" s="7"/>
    </row>
    <row r="20" ht="15.75" customHeight="1">
      <c r="C20" s="7"/>
    </row>
    <row r="21" ht="15.75" customHeight="1">
      <c r="C21" s="7"/>
    </row>
    <row r="22" ht="15.75" customHeight="1">
      <c r="C22" s="7"/>
    </row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5" width="12.63"/>
    <col customWidth="1" min="6" max="6" width="33.13"/>
    <col customWidth="1" min="7" max="7" width="47.0"/>
    <col customWidth="1" min="9" max="9" width="41.75"/>
  </cols>
  <sheetData>
    <row r="1" ht="15.75" customHeight="1">
      <c r="B1" s="78" t="s">
        <v>65</v>
      </c>
    </row>
    <row r="2" ht="15.75" customHeight="1"/>
    <row r="3" ht="15.75" customHeight="1">
      <c r="B3" s="79" t="s">
        <v>66</v>
      </c>
      <c r="C3" s="11"/>
      <c r="D3" s="11"/>
      <c r="E3" s="11"/>
      <c r="F3" s="11"/>
      <c r="G3" s="13"/>
      <c r="H3" s="33"/>
      <c r="I3" s="79" t="s">
        <v>67</v>
      </c>
      <c r="J3" s="11"/>
      <c r="K3" s="11"/>
      <c r="L3" s="11"/>
      <c r="M3" s="11"/>
      <c r="N3" s="11"/>
      <c r="O3" s="11"/>
      <c r="P3" s="13"/>
    </row>
    <row r="4" ht="15.75" customHeight="1">
      <c r="B4" s="80">
        <v>1.0</v>
      </c>
      <c r="C4" s="15" t="s">
        <v>68</v>
      </c>
      <c r="D4" s="11"/>
      <c r="E4" s="11"/>
      <c r="F4" s="11"/>
      <c r="G4" s="13"/>
      <c r="H4" s="81"/>
      <c r="I4" s="80">
        <v>1.0</v>
      </c>
      <c r="J4" s="15" t="s">
        <v>69</v>
      </c>
      <c r="K4" s="11"/>
      <c r="L4" s="11"/>
      <c r="M4" s="11"/>
      <c r="N4" s="11"/>
      <c r="O4" s="11"/>
      <c r="P4" s="13"/>
    </row>
    <row r="5" ht="15.75" customHeight="1">
      <c r="B5" s="82">
        <v>2.0</v>
      </c>
      <c r="C5" s="15" t="s">
        <v>70</v>
      </c>
      <c r="D5" s="11"/>
      <c r="E5" s="11"/>
      <c r="F5" s="11"/>
      <c r="G5" s="13"/>
      <c r="H5" s="33"/>
      <c r="I5" s="83">
        <v>2.0</v>
      </c>
      <c r="J5" s="15" t="s">
        <v>71</v>
      </c>
      <c r="K5" s="11"/>
      <c r="L5" s="11"/>
      <c r="M5" s="11"/>
      <c r="N5" s="11"/>
      <c r="O5" s="11"/>
      <c r="P5" s="13"/>
    </row>
    <row r="6" ht="15.75" customHeight="1">
      <c r="B6" s="82">
        <v>3.0</v>
      </c>
      <c r="C6" s="15" t="s">
        <v>72</v>
      </c>
      <c r="D6" s="11"/>
      <c r="E6" s="11"/>
      <c r="F6" s="11"/>
      <c r="G6" s="13"/>
      <c r="H6" s="33"/>
      <c r="I6" s="83">
        <v>3.0</v>
      </c>
      <c r="J6" s="15" t="s">
        <v>73</v>
      </c>
      <c r="K6" s="11"/>
      <c r="L6" s="11"/>
      <c r="M6" s="11"/>
      <c r="N6" s="11"/>
      <c r="O6" s="11"/>
      <c r="P6" s="13"/>
    </row>
    <row r="7" ht="15.75" customHeight="1">
      <c r="G7" s="84"/>
    </row>
    <row r="8" ht="15.75" customHeight="1"/>
    <row r="9" ht="15.75" customHeight="1">
      <c r="B9" s="85" t="s">
        <v>25</v>
      </c>
      <c r="C9" s="85" t="s">
        <v>61</v>
      </c>
      <c r="D9" s="85" t="s">
        <v>74</v>
      </c>
      <c r="E9" s="86" t="s">
        <v>75</v>
      </c>
      <c r="F9" s="13"/>
      <c r="G9" s="87" t="s">
        <v>76</v>
      </c>
      <c r="H9" s="88" t="s">
        <v>77</v>
      </c>
      <c r="I9" s="13"/>
      <c r="J9" s="85" t="s">
        <v>78</v>
      </c>
    </row>
    <row r="10" ht="15.75" customHeight="1">
      <c r="B10" s="89">
        <v>1.0</v>
      </c>
      <c r="C10" s="90" t="s">
        <v>79</v>
      </c>
      <c r="D10" s="91" t="s">
        <v>80</v>
      </c>
      <c r="E10" s="92" t="s">
        <v>81</v>
      </c>
      <c r="F10" s="13"/>
      <c r="G10" s="93" t="s">
        <v>82</v>
      </c>
      <c r="H10" s="94" t="s">
        <v>83</v>
      </c>
      <c r="I10" s="13"/>
      <c r="J10" s="95" t="s">
        <v>84</v>
      </c>
    </row>
    <row r="11" ht="15.75" customHeight="1">
      <c r="B11" s="96"/>
      <c r="C11" s="97" t="str">
        <f>D10 &amp; " " &amp; E10 &amp; " " &amp;G10&amp; " " &amp;H10&amp; " " </f>
        <v>Reconoce los distintos tipos de bloqueos mentales mediante la identificación de ejemplos en experiencias cotidianas que dificultan la resolución de problemas </v>
      </c>
      <c r="D11" s="11"/>
      <c r="E11" s="11"/>
      <c r="F11" s="11"/>
      <c r="G11" s="11"/>
      <c r="H11" s="11"/>
      <c r="I11" s="11"/>
      <c r="J11" s="13"/>
    </row>
    <row r="12" ht="15.75" customHeight="1">
      <c r="B12" s="89">
        <v>2.0</v>
      </c>
      <c r="C12" s="90" t="s">
        <v>79</v>
      </c>
      <c r="D12" s="91" t="s">
        <v>85</v>
      </c>
      <c r="E12" s="92" t="s">
        <v>86</v>
      </c>
      <c r="F12" s="13"/>
      <c r="G12" s="93" t="s">
        <v>87</v>
      </c>
      <c r="H12" s="94" t="s">
        <v>88</v>
      </c>
      <c r="I12" s="13"/>
      <c r="J12" s="95" t="s">
        <v>89</v>
      </c>
    </row>
    <row r="13" ht="15.75" customHeight="1">
      <c r="B13" s="96"/>
      <c r="C13" s="97" t="str">
        <f>D12 &amp; " " &amp; E12 &amp; " " &amp;G12&amp; " " &amp;H12&amp; " " </f>
        <v>Comprende las diferencias entre lógica formal, matemática y sistémica a través del análisis comparativo 
en ejercicios y situaciones académicas </v>
      </c>
      <c r="D13" s="11"/>
      <c r="E13" s="11"/>
      <c r="F13" s="11"/>
      <c r="G13" s="11"/>
      <c r="H13" s="11"/>
      <c r="I13" s="11"/>
      <c r="J13" s="13"/>
    </row>
    <row r="14" ht="15.75" customHeight="1">
      <c r="B14" s="89">
        <v>3.0</v>
      </c>
      <c r="C14" s="90" t="s">
        <v>79</v>
      </c>
      <c r="D14" s="91" t="s">
        <v>90</v>
      </c>
      <c r="E14" s="92" t="s">
        <v>91</v>
      </c>
      <c r="F14" s="13"/>
      <c r="G14" s="93" t="s">
        <v>92</v>
      </c>
      <c r="H14" s="94" t="s">
        <v>93</v>
      </c>
      <c r="I14" s="13"/>
      <c r="J14" s="95" t="s">
        <v>94</v>
      </c>
    </row>
    <row r="15" ht="15.75" customHeight="1">
      <c r="B15" s="96"/>
      <c r="C15" s="97" t="str">
        <f>D14 &amp; " " &amp; E14 &amp; " " &amp;G14&amp; " " &amp;H14&amp; " " </f>
        <v>Aplica la construcción de árboles lógicos y tríadas conceptuales para representar gráficamente las estructuras de pensamiento trabajadas en el curso </v>
      </c>
      <c r="D15" s="11"/>
      <c r="E15" s="11"/>
      <c r="F15" s="11"/>
      <c r="G15" s="11"/>
      <c r="H15" s="11"/>
      <c r="I15" s="11"/>
      <c r="J15" s="13"/>
    </row>
    <row r="16" ht="15.75" customHeight="1">
      <c r="B16" s="89">
        <v>4.0</v>
      </c>
      <c r="C16" s="90" t="s">
        <v>79</v>
      </c>
      <c r="D16" s="91" t="s">
        <v>95</v>
      </c>
      <c r="E16" s="92" t="s">
        <v>96</v>
      </c>
      <c r="F16" s="13"/>
      <c r="G16" s="93" t="s">
        <v>97</v>
      </c>
      <c r="H16" s="94" t="s">
        <v>98</v>
      </c>
      <c r="I16" s="13"/>
      <c r="J16" s="95" t="s">
        <v>99</v>
      </c>
    </row>
    <row r="17" ht="15.75" customHeight="1">
      <c r="B17" s="96"/>
      <c r="C17" s="97" t="str">
        <f>D16 &amp; " " &amp; E16 &amp; " " &amp;G16&amp; " " &amp;H16&amp; " " </f>
        <v>Analiza proposiciones y razonamientos en el lenguaje identificando premisas, conclusiones y sus relaciones lógicas dentro de textos y enunciados </v>
      </c>
      <c r="D17" s="11"/>
      <c r="E17" s="11"/>
      <c r="F17" s="11"/>
      <c r="G17" s="11"/>
      <c r="H17" s="11"/>
      <c r="I17" s="11"/>
      <c r="J17" s="13"/>
    </row>
    <row r="18" ht="15.75" customHeight="1">
      <c r="B18" s="89">
        <v>5.0</v>
      </c>
      <c r="C18" s="90" t="s">
        <v>79</v>
      </c>
      <c r="D18" s="91" t="s">
        <v>100</v>
      </c>
      <c r="E18" s="92" t="s">
        <v>101</v>
      </c>
      <c r="F18" s="13"/>
      <c r="G18" s="93" t="s">
        <v>102</v>
      </c>
      <c r="H18" s="94" t="s">
        <v>103</v>
      </c>
      <c r="I18" s="13"/>
      <c r="J18" s="95" t="s">
        <v>104</v>
      </c>
    </row>
    <row r="19" ht="15.75" customHeight="1">
      <c r="B19" s="96"/>
      <c r="C19" s="97" t="str">
        <f>D18 &amp; " " &amp; E18 &amp; " " &amp;G18&amp; " " &amp;H18&amp; " " </f>
        <v>Evalúa la validez de razonamientos y falacias empleando discusiones guiadas y la resolución de dilemas en contextos académicos del curso </v>
      </c>
      <c r="D19" s="11"/>
      <c r="E19" s="11"/>
      <c r="F19" s="11"/>
      <c r="G19" s="11"/>
      <c r="H19" s="11"/>
      <c r="I19" s="11"/>
      <c r="J19" s="13"/>
    </row>
    <row r="20" ht="15.75" customHeight="1">
      <c r="B20" s="89">
        <v>6.0</v>
      </c>
      <c r="C20" s="90" t="s">
        <v>79</v>
      </c>
      <c r="D20" s="91" t="s">
        <v>105</v>
      </c>
      <c r="E20" s="92" t="s">
        <v>106</v>
      </c>
      <c r="F20" s="13"/>
      <c r="G20" s="93" t="s">
        <v>107</v>
      </c>
      <c r="H20" s="94" t="s">
        <v>108</v>
      </c>
      <c r="I20" s="13"/>
      <c r="J20" s="95" t="s">
        <v>109</v>
      </c>
    </row>
    <row r="21" ht="15.75" customHeight="1">
      <c r="B21" s="96"/>
      <c r="C21" s="97" t="str">
        <f>D20 &amp; " " &amp; E20 &amp; " " &amp;G20&amp; " " &amp;H20&amp; " " </f>
        <v>Integra modelos mentales y paradigmas en el análisis de ejemplos prácticos para reflexionar sobre su impacto en la toma de decisiones </v>
      </c>
      <c r="D21" s="11"/>
      <c r="E21" s="11"/>
      <c r="F21" s="11"/>
      <c r="G21" s="11"/>
      <c r="H21" s="11"/>
      <c r="I21" s="11"/>
      <c r="J21" s="13"/>
    </row>
    <row r="22" ht="15.75" customHeight="1">
      <c r="B22" s="89">
        <v>7.0</v>
      </c>
      <c r="C22" s="90" t="s">
        <v>79</v>
      </c>
      <c r="D22" s="91" t="s">
        <v>110</v>
      </c>
      <c r="E22" s="92" t="s">
        <v>111</v>
      </c>
      <c r="F22" s="13"/>
      <c r="G22" s="93" t="s">
        <v>112</v>
      </c>
      <c r="H22" s="94" t="s">
        <v>113</v>
      </c>
      <c r="I22" s="13"/>
      <c r="J22" s="95" t="s">
        <v>109</v>
      </c>
    </row>
    <row r="23" ht="15.75" customHeight="1">
      <c r="B23" s="96"/>
      <c r="C23" s="97" t="str">
        <f>D22 &amp; " " &amp; E22 &amp; " " &amp;G22&amp; " " &amp;H22&amp; " " </f>
        <v>Diseña representaciones lógicas innovadoras combinando conceptos, proposiciones y razonamientos que fortalezcan el pensamiento crítico y el razonamiento válido </v>
      </c>
      <c r="D23" s="11"/>
      <c r="E23" s="11"/>
      <c r="F23" s="11"/>
      <c r="G23" s="11"/>
      <c r="H23" s="11"/>
      <c r="I23" s="11"/>
      <c r="J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7" t="str">
        <f>IFERROR(__xludf.DUMMYFUNCTION("IMPORTRANGE(""1--DGkU5oDw3gpAa_rQkeu1olWCf2iv8Pm7BNjqiyiuY"",""Listado Cursos!H:J"")"),"Codigo - Nombre")</f>
        <v>Codigo - Nombre</v>
      </c>
      <c r="B1" s="98" t="str">
        <f>IFERROR(__xludf.DUMMYFUNCTION("""COMPUTED_VALUE"""),"Diseño Curricular")</f>
        <v>Diseño Curricular</v>
      </c>
      <c r="C1" s="98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IFERROR(__xludf.DUMMYFUNCTION("""COMPUTED_VALUE"""),"Especifica")</f>
        <v>Especifica</v>
      </c>
      <c r="F2" s="41" t="str">
        <f>IFERROR(__xludf.DUMMYFUNCTION("""COMPUTED_VALUE"""),"Identifica")</f>
        <v>Identifica</v>
      </c>
      <c r="G2" s="41" t="str">
        <f>IFERROR(__xludf.DUMMYFUNCTION("""COMPUTED_VALUE"""),"los tipos de bloqueos mentales")</f>
        <v>los tipos de bloqueos mentales</v>
      </c>
      <c r="H2" s="41"/>
      <c r="I2" s="41" t="str">
        <f>IFERROR(__xludf.DUMMYFUNCTION("""COMPUTED_VALUE"""),"mediante el análisis de casos y experiencias personales")</f>
        <v>mediante el análisis de casos y experiencias personales</v>
      </c>
      <c r="J2" s="41" t="str">
        <f>IFERROR(__xludf.DUMMYFUNCTION("""COMPUTED_VALUE"""),"en situaciones que dificultan la resolución de problemas")</f>
        <v>en situaciones que dificultan la resolución de problemas</v>
      </c>
      <c r="K2" s="41"/>
      <c r="L2" s="41" t="str">
        <f>IFERROR(__xludf.DUMMYFUNCTION("""COMPUTED_VALUE"""),"Recordar")</f>
        <v>Recordar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IFERROR(__xludf.DUMMYFUNCTION("""COMPUTED_VALUE"""),"Identifica los tipos de bloqueos mentales mediante el análisis de casos y experiencias personales en situaciones que dificultan la resolución de problemas ")</f>
        <v>Identifica los tipos de bloqueos mentales mediante el análisis de casos y experiencias personales en situaciones que dificultan la resolución de problemas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IFERROR(__xludf.DUMMYFUNCTION("""COMPUTED_VALUE"""),"Especifica")</f>
        <v>Especifica</v>
      </c>
      <c r="F4" s="41" t="str">
        <f>IFERROR(__xludf.DUMMYFUNCTION("""COMPUTED_VALUE"""),"Define")</f>
        <v>Define</v>
      </c>
      <c r="G4" s="41" t="str">
        <f>IFERROR(__xludf.DUMMYFUNCTION("""COMPUTED_VALUE"""),"las diferencias entre lógica formal, matemática y sistémica")</f>
        <v>las diferencias entre lógica formal, matemática y sistémica</v>
      </c>
      <c r="H4" s="41"/>
      <c r="I4" s="41" t="str">
        <f>IFERROR(__xludf.DUMMYFUNCTION("""COMPUTED_VALUE"""),"con base en ejemplos prácticos y ejercicios comparativos")</f>
        <v>con base en ejemplos prácticos y ejercicios comparativos</v>
      </c>
      <c r="J4" s="41" t="str">
        <f>IFERROR(__xludf.DUMMYFUNCTION("""COMPUTED_VALUE"""),"dentro de contextos académicos del curso ")</f>
        <v>dentro de contextos académicos del curso </v>
      </c>
      <c r="K4" s="41"/>
      <c r="L4" s="41" t="str">
        <f>IFERROR(__xludf.DUMMYFUNCTION("""COMPUTED_VALUE"""),"Comprensión")</f>
        <v>Comprensión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IFERROR(__xludf.DUMMYFUNCTION("""COMPUTED_VALUE"""),"Define las diferencias entre lógica formal, matemática y sistémica con base en ejemplos prácticos y ejercicios comparativos dentro de contextos académicos del curso  ")</f>
        <v>Define las diferencias entre lógica formal, matemática y sistémica con base en ejemplos prácticos y ejercicios comparativos dentro de contextos académicos del curso 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IFERROR(__xludf.DUMMYFUNCTION("""COMPUTED_VALUE"""),"Especifica")</f>
        <v>Especifica</v>
      </c>
      <c r="F6" s="41" t="str">
        <f>IFERROR(__xludf.DUMMYFUNCTION("""COMPUTED_VALUE"""),"Construye")</f>
        <v>Construye</v>
      </c>
      <c r="G6" s="41" t="str">
        <f>IFERROR(__xludf.DUMMYFUNCTION("""COMPUTED_VALUE"""),"árboles lógicos y tríadas de conceptos")</f>
        <v>árboles lógicos y tríadas de conceptos</v>
      </c>
      <c r="H6" s="41"/>
      <c r="I6" s="41" t="str">
        <f>IFERROR(__xludf.DUMMYFUNCTION("""COMPUTED_VALUE"""),"utilizando los contenidos desarrollados durante el curso")</f>
        <v>utilizando los contenidos desarrollados durante el curso</v>
      </c>
      <c r="J6" s="41" t="str">
        <f>IFERROR(__xludf.DUMMYFUNCTION("""COMPUTED_VALUE"""),"para representar estructuras lógicas de pensamiento")</f>
        <v>para representar estructuras lógicas de pensamiento</v>
      </c>
      <c r="K6" s="41"/>
      <c r="L6" s="41" t="str">
        <f>IFERROR(__xludf.DUMMYFUNCTION("""COMPUTED_VALUE"""),"Crear")</f>
        <v>Crear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IFERROR(__xludf.DUMMYFUNCTION("""COMPUTED_VALUE"""),"Construye árboles lógicos y tríadas de conceptos utilizando los contenidos desarrollados durante el curso para representar estructuras lógicas de pensamiento ")</f>
        <v>Construye árboles lógicos y tríadas de conceptos utilizando los contenidos desarrollados durante el curso para representar estructuras lógicas de pensamiento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IFERROR(__xludf.DUMMYFUNCTION("""COMPUTED_VALUE"""),"Reconoce")</f>
        <v>Reconoce</v>
      </c>
      <c r="G8" s="41" t="str">
        <f>IFERROR(__xludf.DUMMYFUNCTION("""COMPUTED_VALUE"""),"proposiciones y razonamientos en el lenguaje")</f>
        <v>proposiciones y razonamientos en el lenguaje</v>
      </c>
      <c r="H8" s="41"/>
      <c r="I8" s="41" t="str">
        <f>IFERROR(__xludf.DUMMYFUNCTION("""COMPUTED_VALUE"""),"por medio del análisis de textos y enunciados")</f>
        <v>por medio del análisis de textos y enunciados</v>
      </c>
      <c r="J8" s="41" t="str">
        <f>IFERROR(__xludf.DUMMYFUNCTION("""COMPUTED_VALUE"""),"para distinguir los componentes lógicos del lenguaje")</f>
        <v>para distinguir los componentes lógicos del lenguaje</v>
      </c>
      <c r="K8" s="41"/>
      <c r="L8" s="41" t="str">
        <f>IFERROR(__xludf.DUMMYFUNCTION("""COMPUTED_VALUE"""),"Recordar")</f>
        <v>Recordar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IFERROR(__xludf.DUMMYFUNCTION("""COMPUTED_VALUE"""),"Reconoce proposiciones y razonamientos en el lenguaje por medio del análisis de textos y enunciados para distinguir los componentes lógicos del lenguaje ")</f>
        <v>Reconoce proposiciones y razonamientos en el lenguaje por medio del análisis de textos y enunciados para distinguir los componentes lógicos del lenguaje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IFERROR(__xludf.DUMMYFUNCTION("""COMPUTED_VALUE"""),"Evalua")</f>
        <v>Evalua</v>
      </c>
      <c r="G10" s="41" t="str">
        <f>IFERROR(__xludf.DUMMYFUNCTION("""COMPUTED_VALUE"""),"razonamientos y falacias")</f>
        <v>razonamientos y falacias</v>
      </c>
      <c r="H10" s="41"/>
      <c r="I10" s="41" t="str">
        <f>IFERROR(__xludf.DUMMYFUNCTION("""COMPUTED_VALUE"""),"utilizando ejercicios escritos y discusiones dirigidas")</f>
        <v>utilizando ejercicios escritos y discusiones dirigidas</v>
      </c>
      <c r="J10" s="41" t="str">
        <f>IFERROR(__xludf.DUMMYFUNCTION("""COMPUTED_VALUE"""),"en la resolución de dilemas lógicos")</f>
        <v>en la resolución de dilemas lógicos</v>
      </c>
      <c r="K10" s="41"/>
      <c r="L10" s="41" t="str">
        <f>IFERROR(__xludf.DUMMYFUNCTION("""COMPUTED_VALUE"""),"Evaluar")</f>
        <v>Evaluar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IFERROR(__xludf.DUMMYFUNCTION("""COMPUTED_VALUE"""),"Evalua razonamientos y falacias utilizando ejercicios escritos y discusiones dirigidas en la resolución de dilemas lógicos ")</f>
        <v>Evalua razonamientos y falacias utilizando ejercicios escritos y discusiones dirigidas en la resolución de dilemas lógicos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IFERROR(__xludf.DUMMYFUNCTION("""COMPUTED_VALUE"""),"General")</f>
        <v>General</v>
      </c>
      <c r="F12" s="41" t="str">
        <f>IFERROR(__xludf.DUMMYFUNCTION("""COMPUTED_VALUE"""),"Comprende")</f>
        <v>Comprende</v>
      </c>
      <c r="G12" s="41" t="str">
        <f>IFERROR(__xludf.DUMMYFUNCTION("""COMPUTED_VALUE"""),"los modelos mentales y paradigmas")</f>
        <v>los modelos mentales y paradigmas</v>
      </c>
      <c r="H12" s="41"/>
      <c r="I12" s="41" t="str">
        <f>IFERROR(__xludf.DUMMYFUNCTION("""COMPUTED_VALUE"""),"mediante el análisis de ejemplos y situaciones cotidianas")</f>
        <v>mediante el análisis de ejemplos y situaciones cotidianas</v>
      </c>
      <c r="J12" s="41" t="str">
        <f>IFERROR(__xludf.DUMMYFUNCTION("""COMPUTED_VALUE"""),"en actividades de reflexión y discusión grupal")</f>
        <v>en actividades de reflexión y discusión grupal</v>
      </c>
      <c r="K12" s="41"/>
      <c r="L12" s="41" t="str">
        <f>IFERROR(__xludf.DUMMYFUNCTION("""COMPUTED_VALUE"""),"Comprensión")</f>
        <v>Comprensión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IFERROR(__xludf.DUMMYFUNCTION("""COMPUTED_VALUE"""),"Comprende los modelos mentales y paradigmas mediante el análisis de ejemplos y situaciones cotidianas en actividades de reflexión y discusión grupal ")</f>
        <v>Comprende los modelos mentales y paradigmas mediante el análisis de ejemplos y situaciones cotidianas en actividades de reflexión y discusión grupal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IFERROR(__xludf.DUMMYFUNCTION("""COMPUTED_VALUE"""),"Especifica")</f>
        <v>Especifica</v>
      </c>
      <c r="F14" s="41" t="str">
        <f>IFERROR(__xludf.DUMMYFUNCTION("""COMPUTED_VALUE"""),"Reconoce")</f>
        <v>Reconoce</v>
      </c>
      <c r="G14" s="41" t="str">
        <f>IFERROR(__xludf.DUMMYFUNCTION("""COMPUTED_VALUE""")," los principios fundamentales de la lógica ")</f>
        <v> los principios fundamentales de la lógica </v>
      </c>
      <c r="H14" s="41"/>
      <c r="I14" s="41" t="str">
        <f>IFERROR(__xludf.DUMMYFUNCTION("""COMPUTED_VALUE"""),"mediante el análisis de enunciados y situaciones cotidianas")</f>
        <v>mediante el análisis de enunciados y situaciones cotidianas</v>
      </c>
      <c r="J14" s="41" t="str">
        <f>IFERROR(__xludf.DUMMYFUNCTION("""COMPUTED_VALUE"""),"que permitan desarrollar habilidades de pensamiento crítico y razonamiento válido")</f>
        <v>que permitan desarrollar habilidades de pensamiento crítico y razonamiento válido</v>
      </c>
      <c r="K14" s="41"/>
      <c r="L14" s="41"/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IFERROR(__xludf.DUMMYFUNCTION("""COMPUTED_VALUE"""),"Reconoce los principios fundamentales de la lógica mediante el análisis de enunciados y situaciones cotidianas que permitan desarrollar habilidades de pensamiento crítico y razonamiento válido")</f>
        <v>Reconoce los principios fundamentales de la lógica mediante el análisis de enunciados y situaciones cotidianas que permitan desarrollar habilidades de pensamiento crítico y razonamiento válido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